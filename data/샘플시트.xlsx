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Tables/pivotTable2.xml" ContentType="application/vnd.openxmlformats-officedocument.spreadsheetml.pivotTable+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11.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1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현재_통합_문서"/>
  <mc:AlternateContent xmlns:mc="http://schemas.openxmlformats.org/markup-compatibility/2006">
    <mc:Choice Requires="x15">
      <x15ac:absPath xmlns:x15ac="http://schemas.microsoft.com/office/spreadsheetml/2010/11/ac" url="/Users/kimyongjae/Downloads/"/>
    </mc:Choice>
  </mc:AlternateContent>
  <xr:revisionPtr revIDLastSave="0" documentId="13_ncr:1_{BA240836-C3BE-E64A-A1E0-082D2B3832CE}" xr6:coauthVersionLast="47" xr6:coauthVersionMax="47" xr10:uidLastSave="{00000000-0000-0000-0000-000000000000}"/>
  <bookViews>
    <workbookView xWindow="0" yWindow="780" windowWidth="36000" windowHeight="22600" tabRatio="570" firstSheet="1" activeTab="1" xr2:uid="{00000000-000D-0000-FFFF-FFFF00000000}"/>
  </bookViews>
  <sheets>
    <sheet name="목차" sheetId="24" r:id="rId1"/>
    <sheet name="M1. 엑셀 활용시 LLM의 도움을 받을 수 있는 방법" sheetId="4" r:id="rId2"/>
    <sheet name="M2. 데이터집계하기(!)" sheetId="8" r:id="rId3"/>
    <sheet name="M2. 데이터집계하기(2)" sheetId="6" r:id="rId4"/>
    <sheet name="M2. 데이터집계하기(3)" sheetId="7" r:id="rId5"/>
    <sheet name="M3. 데이터정제하기(1)" sheetId="9" r:id="rId6"/>
    <sheet name="M3. 데이터정제하기(2)" sheetId="10" r:id="rId7"/>
    <sheet name="M4. 데이터 변수파생" sheetId="11" r:id="rId8"/>
    <sheet name="M5. 템플릿만들기(1)" sheetId="12" r:id="rId9"/>
    <sheet name="M5. 템플릿만들기(2)" sheetId="13" r:id="rId10"/>
    <sheet name="M6. 피벗차트 만들기 튜토리얼(1)" sheetId="14" r:id="rId11"/>
    <sheet name="M6. 피벗차트 만들기 튜토리얼(2)" sheetId="15" r:id="rId12"/>
    <sheet name="M7. 테이블,차트 데이터분석" sheetId="16" r:id="rId13"/>
    <sheet name="M8. 코드없이 엑셀템플릿 제작" sheetId="17" r:id="rId14"/>
    <sheet name="M9. 엑셀VBA with ChatGPT" sheetId="18" r:id="rId15"/>
    <sheet name="M10. 엑셀 GPT추가기능 (1)" sheetId="21" r:id="rId16"/>
    <sheet name="M10. 엑셀 GPT추가기능(2)" sheetId="19" r:id="rId17"/>
    <sheet name="M10. 엑셀 GPT추가기능(3)" sheetId="22" r:id="rId18"/>
    <sheet name="GPT cache" sheetId="20" state="veryHidden" r:id="rId19"/>
  </sheets>
  <definedNames>
    <definedName name="_xlchart.v1.0" hidden="1">'M6. 피벗차트 만들기 튜토리얼(2)'!$K$6:$K$18</definedName>
    <definedName name="_xlchart.v1.1" hidden="1">'M6. 피벗차트 만들기 튜토리얼(2)'!$L$6:$L$18</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5" i="21" l="1" a="1"/>
  <c r="B35" i="21" s="1"/>
  <c r="C35" i="21" s="1" a="1"/>
  <c r="C35" i="21" s="1"/>
  <c r="B48" i="21" a="1"/>
  <c r="B48" i="21" s="1"/>
  <c r="A7" i="17"/>
  <c r="B7" i="17" s="1"/>
  <c r="B9" i="17" s="1"/>
  <c r="B11" i="17" s="1"/>
  <c r="B13" i="17" s="1"/>
  <c r="B15" i="17" s="1"/>
  <c r="B16" i="17" s="1" a="1"/>
  <c r="B16" i="17" s="1"/>
  <c r="M19" i="13"/>
  <c r="N19" i="13"/>
  <c r="P19" i="13"/>
  <c r="R19" i="13"/>
  <c r="T19" i="13"/>
  <c r="V19" i="13"/>
  <c r="M20" i="13"/>
  <c r="N20" i="13"/>
  <c r="P20" i="13"/>
  <c r="R20" i="13"/>
  <c r="T20" i="13"/>
  <c r="V20" i="13"/>
  <c r="M21" i="13"/>
  <c r="N21" i="13"/>
  <c r="P21" i="13"/>
  <c r="R21" i="13"/>
  <c r="T21" i="13"/>
  <c r="V21" i="13"/>
  <c r="M22" i="13"/>
  <c r="N22" i="13"/>
  <c r="P22" i="13"/>
  <c r="R22" i="13"/>
  <c r="T22" i="13"/>
  <c r="V22" i="13"/>
  <c r="M23" i="13"/>
  <c r="N23" i="13"/>
  <c r="P23" i="13"/>
  <c r="R23" i="13"/>
  <c r="T23" i="13"/>
  <c r="V23" i="13"/>
  <c r="M24" i="13"/>
  <c r="N24" i="13"/>
  <c r="P24" i="13"/>
  <c r="R24" i="13"/>
  <c r="T24" i="13"/>
  <c r="V24" i="13"/>
  <c r="M18" i="13"/>
  <c r="N18" i="13"/>
  <c r="P18" i="13"/>
  <c r="R18" i="13"/>
  <c r="T18" i="13"/>
  <c r="V18" i="13"/>
  <c r="M12" i="13"/>
  <c r="N12" i="13"/>
  <c r="O12" i="13"/>
  <c r="M13" i="13"/>
  <c r="N13" i="13"/>
  <c r="O13" i="13"/>
  <c r="M14" i="13"/>
  <c r="N14" i="13"/>
  <c r="O14" i="13"/>
  <c r="M7" i="13"/>
  <c r="N7" i="13"/>
  <c r="O7" i="13"/>
  <c r="M8" i="13"/>
  <c r="N8" i="13"/>
  <c r="O8" i="13"/>
  <c r="M9" i="13"/>
  <c r="N9" i="13"/>
  <c r="O9" i="13"/>
  <c r="M4" i="13"/>
  <c r="N4" i="13"/>
  <c r="O4" i="13"/>
  <c r="N4" i="12"/>
  <c r="O4" i="12"/>
  <c r="P4" i="12"/>
  <c r="Q4" i="12"/>
  <c r="R4" i="12"/>
  <c r="N5" i="12"/>
  <c r="O5" i="12"/>
  <c r="P5" i="12"/>
  <c r="Q5" i="12"/>
  <c r="R5" i="12"/>
  <c r="N6" i="12"/>
  <c r="O6" i="12"/>
  <c r="P6" i="12"/>
  <c r="Q6" i="12"/>
  <c r="R6" i="12"/>
  <c r="N7" i="12"/>
  <c r="O7" i="12"/>
  <c r="P7" i="12"/>
  <c r="Q7" i="12"/>
  <c r="R7" i="12"/>
  <c r="N8" i="12"/>
  <c r="O8" i="12"/>
  <c r="P8" i="12"/>
  <c r="Q8" i="12"/>
  <c r="R8" i="12"/>
  <c r="N9" i="12"/>
  <c r="O9" i="12"/>
  <c r="P9" i="12"/>
  <c r="Q9" i="12"/>
  <c r="R9" i="12"/>
  <c r="N10" i="12"/>
  <c r="O10" i="12"/>
  <c r="P10" i="12"/>
  <c r="Q10" i="12"/>
  <c r="R10" i="12"/>
  <c r="N11" i="12"/>
  <c r="O11" i="12"/>
  <c r="P11" i="12"/>
  <c r="Q11" i="12"/>
  <c r="R11" i="12"/>
  <c r="N12" i="12"/>
  <c r="O12" i="12"/>
  <c r="P12" i="12"/>
  <c r="Q12" i="12"/>
  <c r="R12" i="12"/>
  <c r="P9" i="8"/>
  <c r="O9" i="8"/>
  <c r="N9" i="8"/>
  <c r="M9" i="8"/>
  <c r="L9" i="8"/>
  <c r="P8" i="8"/>
  <c r="O8" i="8"/>
  <c r="N8" i="8"/>
  <c r="M8" i="8"/>
  <c r="L8" i="8"/>
  <c r="P7" i="8"/>
  <c r="O7" i="8"/>
  <c r="N7" i="8"/>
  <c r="M7" i="8"/>
  <c r="L7" i="8"/>
  <c r="P6" i="8"/>
  <c r="O6" i="8"/>
  <c r="N6" i="8"/>
  <c r="M6" i="8"/>
  <c r="L6" i="8"/>
  <c r="P5" i="8"/>
  <c r="O5" i="8"/>
  <c r="N5" i="8"/>
  <c r="M5" i="8"/>
  <c r="L5" i="8"/>
  <c r="P4" i="8"/>
  <c r="O4" i="8"/>
  <c r="N4" i="8"/>
  <c r="M4" i="8"/>
  <c r="L4" i="8"/>
  <c r="P3" i="8"/>
  <c r="O3" i="8"/>
  <c r="N3" i="8"/>
  <c r="M3" i="8"/>
  <c r="L3" i="8"/>
  <c r="P2" i="8"/>
  <c r="O2" i="8"/>
  <c r="N2" i="8"/>
  <c r="M2" i="8"/>
  <c r="L2" i="8"/>
  <c r="O2" i="6"/>
  <c r="P11" i="7"/>
  <c r="O11" i="7"/>
  <c r="N11" i="7"/>
  <c r="M11" i="7"/>
  <c r="L11" i="7"/>
  <c r="P10" i="7"/>
  <c r="O10" i="7"/>
  <c r="N10" i="7"/>
  <c r="M10" i="7"/>
  <c r="L10" i="7"/>
  <c r="P9" i="7"/>
  <c r="O9" i="7"/>
  <c r="N9" i="7"/>
  <c r="M9" i="7"/>
  <c r="L9" i="7"/>
  <c r="P8" i="7"/>
  <c r="O8" i="7"/>
  <c r="N8" i="7"/>
  <c r="M8" i="7"/>
  <c r="L8" i="7"/>
  <c r="P7" i="7"/>
  <c r="O7" i="7"/>
  <c r="N7" i="7"/>
  <c r="M7" i="7"/>
  <c r="L7" i="7"/>
  <c r="P6" i="7"/>
  <c r="O6" i="7"/>
  <c r="N6" i="7"/>
  <c r="M6" i="7"/>
  <c r="L6" i="7"/>
  <c r="P5" i="7"/>
  <c r="O5" i="7"/>
  <c r="N5" i="7"/>
  <c r="M5" i="7"/>
  <c r="L5" i="7"/>
  <c r="P4" i="7"/>
  <c r="O4" i="7"/>
  <c r="N4" i="7"/>
  <c r="M4" i="7"/>
  <c r="L4" i="7"/>
  <c r="I16" i="4"/>
  <c r="I15" i="4"/>
  <c r="I14" i="4"/>
  <c r="I17" i="4"/>
  <c r="I13" i="4"/>
  <c r="I19" i="4"/>
  <c r="I18" i="4"/>
  <c r="O19" i="13" l="1"/>
  <c r="O18" i="13"/>
  <c r="C36" i="21" a="1"/>
  <c r="C36" i="21" s="1"/>
  <c r="C37" i="21" a="1"/>
  <c r="C37" i="21" s="1"/>
  <c r="C38" i="21" a="1"/>
  <c r="C38" i="21" s="1"/>
  <c r="C39" i="21" a="1"/>
  <c r="C39" i="21" s="1"/>
  <c r="C40" i="21" a="1"/>
  <c r="C40" i="21" s="1"/>
  <c r="C42" i="21" a="1"/>
  <c r="C42" i="21" s="1"/>
  <c r="C43" i="21" a="1"/>
  <c r="C43" i="21" s="1"/>
  <c r="C44" i="21" a="1"/>
  <c r="C44" i="21" s="1"/>
  <c r="D49" i="21" a="1"/>
  <c r="D49" i="21" s="1"/>
  <c r="D57" i="21" a="1"/>
  <c r="D57" i="21" s="1"/>
  <c r="D56" i="21" a="1"/>
  <c r="D56" i="21" s="1"/>
  <c r="C41" i="21" a="1"/>
  <c r="C41" i="21" s="1"/>
  <c r="D54" i="21" a="1"/>
  <c r="D54" i="21" s="1"/>
  <c r="D53" i="21" a="1"/>
  <c r="D53" i="21" s="1"/>
  <c r="D58" i="21" a="1"/>
  <c r="D58" i="21" s="1"/>
  <c r="D55" i="21" a="1"/>
  <c r="D55" i="21" s="1"/>
  <c r="D52" i="21" a="1"/>
  <c r="D52" i="21" s="1"/>
  <c r="D51" i="21" a="1"/>
  <c r="D51" i="21" s="1"/>
  <c r="D50" i="21" a="1"/>
  <c r="D50" i="21" s="1"/>
  <c r="B12" i="17" a="1"/>
  <c r="B12" i="17" s="1"/>
  <c r="A8" i="17" a="1"/>
  <c r="A8" i="17" s="1"/>
  <c r="B10" i="17" a="1"/>
  <c r="B10" i="17" s="1"/>
  <c r="B8" i="17" a="1"/>
  <c r="B8" i="17" s="1"/>
  <c r="B14" i="17" a="1"/>
  <c r="B14" i="17" s="1"/>
  <c r="B17" i="17"/>
  <c r="B18" i="17" s="1" a="1"/>
  <c r="B18" i="17" s="1"/>
  <c r="A9" i="17"/>
  <c r="C7" i="17"/>
  <c r="O22" i="13"/>
  <c r="S22" i="13" s="1"/>
  <c r="O20" i="13"/>
  <c r="O23" i="13"/>
  <c r="S23" i="13" s="1"/>
  <c r="O24" i="13"/>
  <c r="S24" i="13" s="1"/>
  <c r="O21" i="13"/>
  <c r="S21" i="13" s="1"/>
  <c r="S19" i="13"/>
  <c r="Q20" i="13"/>
  <c r="W20" i="13" s="1"/>
  <c r="S20" i="13"/>
  <c r="Q23" i="13"/>
  <c r="W23" i="13" s="1"/>
  <c r="Q19" i="13"/>
  <c r="Q18" i="13"/>
  <c r="S18" i="13"/>
  <c r="H23" i="4"/>
  <c r="I23" i="4"/>
  <c r="Q24" i="13" l="1"/>
  <c r="W24" i="13" s="1"/>
  <c r="C9" i="17"/>
  <c r="C8" i="17" a="1"/>
  <c r="C8" i="17" s="1"/>
  <c r="A11" i="17"/>
  <c r="A10" i="17" a="1"/>
  <c r="A10" i="17" s="1"/>
  <c r="D7" i="17"/>
  <c r="U24" i="13"/>
  <c r="Q22" i="13"/>
  <c r="Q21" i="13"/>
  <c r="U19" i="13"/>
  <c r="W19" i="13"/>
  <c r="U20" i="13"/>
  <c r="U23" i="13"/>
  <c r="W18" i="13"/>
  <c r="U18" i="13"/>
  <c r="I11" i="4"/>
  <c r="D11" i="4" s="1"/>
  <c r="D9" i="17" l="1"/>
  <c r="D8" i="17" a="1"/>
  <c r="D8" i="17" s="1"/>
  <c r="A13" i="17"/>
  <c r="A12" i="17" a="1"/>
  <c r="A12" i="17" s="1"/>
  <c r="C11" i="17"/>
  <c r="C10" i="17" a="1"/>
  <c r="C10" i="17" s="1"/>
  <c r="E7" i="17"/>
  <c r="U21" i="13"/>
  <c r="W21" i="13"/>
  <c r="W22" i="13"/>
  <c r="U22" i="13"/>
  <c r="E9" i="17" l="1"/>
  <c r="E8" i="17" a="1"/>
  <c r="E8" i="17" s="1"/>
  <c r="C13" i="17"/>
  <c r="C12" i="17" a="1"/>
  <c r="C12" i="17" s="1"/>
  <c r="A14" i="17" a="1"/>
  <c r="A14" i="17" s="1"/>
  <c r="A15" i="17"/>
  <c r="D11" i="17"/>
  <c r="D10" i="17" a="1"/>
  <c r="D10" i="17" s="1"/>
  <c r="F7" i="17"/>
  <c r="F8" i="17" s="1" a="1"/>
  <c r="F8" i="17" s="1"/>
  <c r="C14" i="17" l="1" a="1"/>
  <c r="C14" i="17" s="1"/>
  <c r="C15" i="17"/>
  <c r="D13" i="17"/>
  <c r="D12" i="17" a="1"/>
  <c r="D12" i="17" s="1"/>
  <c r="A16" i="17" a="1"/>
  <c r="A16" i="17" s="1"/>
  <c r="A17" i="17"/>
  <c r="A18" i="17" s="1" a="1"/>
  <c r="A18" i="17" s="1"/>
  <c r="E11" i="17"/>
  <c r="E10" i="17" a="1"/>
  <c r="E10" i="17" s="1"/>
  <c r="F9" i="17"/>
  <c r="G7" i="17"/>
  <c r="G8" i="17" s="1" a="1"/>
  <c r="G8" i="17" s="1"/>
  <c r="E13" i="17" l="1"/>
  <c r="E12" i="17" a="1"/>
  <c r="E12" i="17" s="1"/>
  <c r="F11" i="17"/>
  <c r="F10" i="17" a="1"/>
  <c r="F10" i="17" s="1"/>
  <c r="D14" i="17" a="1"/>
  <c r="D14" i="17" s="1"/>
  <c r="D15" i="17"/>
  <c r="C16" i="17" a="1"/>
  <c r="C16" i="17" s="1"/>
  <c r="C17" i="17"/>
  <c r="C18" i="17" s="1" a="1"/>
  <c r="C18" i="17" s="1"/>
  <c r="G9" i="17"/>
  <c r="G11" i="17" l="1"/>
  <c r="G10" i="17" a="1"/>
  <c r="G10" i="17" s="1"/>
  <c r="D16" i="17" a="1"/>
  <c r="D16" i="17" s="1"/>
  <c r="D17" i="17"/>
  <c r="D18" i="17" s="1" a="1"/>
  <c r="D18" i="17" s="1"/>
  <c r="F13" i="17"/>
  <c r="F12" i="17" a="1"/>
  <c r="F12" i="17" s="1"/>
  <c r="E14" i="17" a="1"/>
  <c r="E14" i="17" s="1"/>
  <c r="E15" i="17"/>
  <c r="E16" i="17" l="1" a="1"/>
  <c r="E16" i="17" s="1"/>
  <c r="E17" i="17"/>
  <c r="E18" i="17" s="1" a="1"/>
  <c r="E18" i="17" s="1"/>
  <c r="F14" i="17" a="1"/>
  <c r="F14" i="17" s="1"/>
  <c r="F15" i="17"/>
  <c r="G13" i="17"/>
  <c r="G12" i="17" a="1"/>
  <c r="G12" i="17" s="1"/>
  <c r="F16" i="17" l="1" a="1"/>
  <c r="F16" i="17" s="1"/>
  <c r="F17" i="17"/>
  <c r="F18" i="17" s="1" a="1"/>
  <c r="F18" i="17" s="1"/>
  <c r="G14" i="17" a="1"/>
  <c r="G14" i="17" s="1"/>
  <c r="G15" i="17"/>
  <c r="G16" i="17" l="1" a="1"/>
  <c r="G16" i="17" s="1"/>
  <c r="G17" i="17"/>
  <c r="G18" i="17" s="1" a="1"/>
  <c r="G18"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<sst xmlns="http://schemas.openxmlformats.org/spreadsheetml/2006/main" count="10028" uniqueCount="1205">
  <si>
    <t>No.</t>
    <phoneticPr fontId="3" type="noConversion"/>
  </si>
  <si>
    <t>날  짜:</t>
    <phoneticPr fontId="3" type="noConversion"/>
  </si>
  <si>
    <t>수  신:</t>
    <phoneticPr fontId="3" type="noConversion"/>
  </si>
  <si>
    <t>참  조:</t>
    <phoneticPr fontId="3" type="noConversion"/>
  </si>
  <si>
    <t xml:space="preserve"> </t>
    <phoneticPr fontId="3" type="noConversion"/>
  </si>
  <si>
    <t>아래와 같이 견적합니다.</t>
    <phoneticPr fontId="3" type="noConversion"/>
  </si>
  <si>
    <t>품명</t>
    <phoneticPr fontId="3" type="noConversion"/>
  </si>
  <si>
    <t>규격</t>
    <phoneticPr fontId="3" type="noConversion"/>
  </si>
  <si>
    <t>수량</t>
    <phoneticPr fontId="3" type="noConversion"/>
  </si>
  <si>
    <t>단가</t>
    <phoneticPr fontId="3" type="noConversion"/>
  </si>
  <si>
    <t>공급가액</t>
    <phoneticPr fontId="3" type="noConversion"/>
  </si>
  <si>
    <t>세액</t>
    <phoneticPr fontId="3" type="noConversion"/>
  </si>
  <si>
    <t>비고</t>
    <phoneticPr fontId="3" type="noConversion"/>
  </si>
  <si>
    <t>합               계</t>
    <phoneticPr fontId="3" type="noConversion"/>
  </si>
  <si>
    <t>[MEMO]</t>
    <phoneticPr fontId="3" type="noConversion"/>
  </si>
  <si>
    <t>사업장소재지</t>
    <phoneticPr fontId="3" type="noConversion"/>
  </si>
  <si>
    <t>상호</t>
    <phoneticPr fontId="3" type="noConversion"/>
  </si>
  <si>
    <t>대표자성명</t>
    <phoneticPr fontId="3" type="noConversion"/>
  </si>
  <si>
    <t>전화번호</t>
    <phoneticPr fontId="3" type="noConversion"/>
  </si>
  <si>
    <t>견     적     서</t>
    <phoneticPr fontId="3" type="noConversion"/>
  </si>
  <si>
    <t>공 급 자</t>
    <phoneticPr fontId="3" type="noConversion"/>
  </si>
  <si>
    <t>※ 부가세및 택배비 포함 가격입니다.</t>
    <phoneticPr fontId="3" type="noConversion"/>
  </si>
  <si>
    <t>서울시 동작구 상도동 777번지 행복한빌딩 1004호</t>
    <phoneticPr fontId="3" type="noConversion"/>
  </si>
  <si>
    <t>KNJ</t>
    <phoneticPr fontId="3" type="noConversion"/>
  </si>
  <si>
    <t>KSJ</t>
    <phoneticPr fontId="3" type="noConversion"/>
  </si>
  <si>
    <t>MYG</t>
    <phoneticPr fontId="3" type="noConversion"/>
  </si>
  <si>
    <t>JHS</t>
    <phoneticPr fontId="3" type="noConversion"/>
  </si>
  <si>
    <t>KTH</t>
    <phoneticPr fontId="3" type="noConversion"/>
  </si>
  <si>
    <t>JJK</t>
    <phoneticPr fontId="3" type="noConversion"/>
  </si>
  <si>
    <t>PJM</t>
    <phoneticPr fontId="3" type="noConversion"/>
  </si>
  <si>
    <t>합계금액
(공급가액+세액)</t>
    <phoneticPr fontId="3" type="noConversion"/>
  </si>
  <si>
    <t>소속학과</t>
  </si>
  <si>
    <t>학년</t>
  </si>
  <si>
    <t>학번</t>
  </si>
  <si>
    <t>성명</t>
  </si>
  <si>
    <t>중간</t>
    <phoneticPr fontId="11" type="noConversion"/>
  </si>
  <si>
    <t>기말</t>
    <phoneticPr fontId="11" type="noConversion"/>
  </si>
  <si>
    <t>과제</t>
    <phoneticPr fontId="11" type="noConversion"/>
  </si>
  <si>
    <t>출석</t>
    <phoneticPr fontId="11" type="noConversion"/>
  </si>
  <si>
    <t>태도</t>
    <phoneticPr fontId="11" type="noConversion"/>
  </si>
  <si>
    <t>IT과학</t>
    <phoneticPr fontId="11" type="noConversion"/>
  </si>
  <si>
    <t>이재환</t>
  </si>
  <si>
    <t>의류디자인</t>
    <phoneticPr fontId="11" type="noConversion"/>
  </si>
  <si>
    <t>김기태</t>
  </si>
  <si>
    <t>글로벌경영</t>
    <phoneticPr fontId="11" type="noConversion"/>
  </si>
  <si>
    <t>배정이</t>
  </si>
  <si>
    <t>스포츠건강과학</t>
    <phoneticPr fontId="11" type="noConversion"/>
  </si>
  <si>
    <t>박도연</t>
  </si>
  <si>
    <t>박주현</t>
  </si>
  <si>
    <t>채예정</t>
  </si>
  <si>
    <t>공공인재</t>
    <phoneticPr fontId="11" type="noConversion"/>
  </si>
  <si>
    <t>김태훈</t>
  </si>
  <si>
    <t>외식영양</t>
    <phoneticPr fontId="11" type="noConversion"/>
  </si>
  <si>
    <t>김민주</t>
  </si>
  <si>
    <t>정승환</t>
  </si>
  <si>
    <t>박준규</t>
  </si>
  <si>
    <t>가구조형</t>
    <phoneticPr fontId="11" type="noConversion"/>
  </si>
  <si>
    <t>강성연</t>
  </si>
  <si>
    <t>임진규</t>
  </si>
  <si>
    <t>이민형</t>
  </si>
  <si>
    <t>에너지그리드</t>
    <phoneticPr fontId="11" type="noConversion"/>
  </si>
  <si>
    <t>권지원</t>
  </si>
  <si>
    <t>주현진</t>
  </si>
  <si>
    <t>박성호</t>
  </si>
  <si>
    <t>구분</t>
    <phoneticPr fontId="11" type="noConversion"/>
  </si>
  <si>
    <t>소속학과</t>
    <phoneticPr fontId="11" type="noConversion"/>
  </si>
  <si>
    <t>외식영양</t>
    <phoneticPr fontId="3" type="noConversion"/>
  </si>
  <si>
    <t>기말</t>
    <phoneticPr fontId="3" type="noConversion"/>
  </si>
  <si>
    <t xml:space="preserve"> 디자이너 </t>
  </si>
  <si>
    <t>이름</t>
  </si>
  <si>
    <t>이메일 주소</t>
  </si>
  <si>
    <t>전화번호</t>
  </si>
  <si>
    <t>주소</t>
  </si>
  <si>
    <t>직업명</t>
  </si>
  <si>
    <t>상품코드</t>
  </si>
  <si>
    <t>날짜 텍스트</t>
  </si>
  <si>
    <t>고객 ID</t>
  </si>
  <si>
    <t>영문 텍스트</t>
  </si>
  <si>
    <t>특수문자 포함 문자열</t>
  </si>
  <si>
    <t xml:space="preserve"> 박민수 </t>
  </si>
  <si>
    <t>sample_email@yahoo.com</t>
  </si>
  <si>
    <t>010.3019.3927</t>
  </si>
  <si>
    <t>대구 유성구 @</t>
  </si>
  <si>
    <t xml:space="preserve"> 엔지니어 </t>
  </si>
  <si>
    <t>NRA-785-CKY</t>
  </si>
  <si>
    <t>2023/09/06</t>
  </si>
  <si>
    <t>CUST_4292</t>
  </si>
  <si>
    <t>MiXeD cAsE Txt</t>
  </si>
  <si>
    <t>K?43bxx6vAEy</t>
  </si>
  <si>
    <t xml:space="preserve"> 송하나 </t>
  </si>
  <si>
    <t>user456@gmail.com</t>
  </si>
  <si>
    <t>010.6780.0870</t>
  </si>
  <si>
    <t>대전 해운대구 ~</t>
  </si>
  <si>
    <t>XJZ-334-VEQ</t>
  </si>
  <si>
    <t>2023/10/10</t>
  </si>
  <si>
    <t>A4177</t>
  </si>
  <si>
    <t>tHis is a TeSt</t>
  </si>
  <si>
    <t>qdvo5KYZJQ*O</t>
  </si>
  <si>
    <t>sample_email@naver.com</t>
  </si>
  <si>
    <t>010.3498.7419</t>
  </si>
  <si>
    <t>대구 해운대구 $</t>
  </si>
  <si>
    <t>AHX-127-SSA</t>
  </si>
  <si>
    <t>23-10-04</t>
  </si>
  <si>
    <t>USER8664</t>
  </si>
  <si>
    <t>CDycXkjCRN32</t>
  </si>
  <si>
    <t>user456@yahoo.com</t>
  </si>
  <si>
    <t>01088299538</t>
  </si>
  <si>
    <t>대구 성남시 @</t>
  </si>
  <si>
    <t xml:space="preserve"> 회계사 </t>
  </si>
  <si>
    <t>FDQ-813-QYX</t>
  </si>
  <si>
    <t>2023/07/25</t>
  </si>
  <si>
    <t>CUST_2652</t>
  </si>
  <si>
    <t>glsFHom3nTJl</t>
  </si>
  <si>
    <t xml:space="preserve"> 김철수 </t>
  </si>
  <si>
    <t>test.mail@yahoo.com</t>
  </si>
  <si>
    <t>01066994242</t>
  </si>
  <si>
    <t>서울 성남시 #</t>
  </si>
  <si>
    <t xml:space="preserve"> 의사 </t>
  </si>
  <si>
    <t>IVG-609-NHW</t>
  </si>
  <si>
    <t>23-11-19</t>
  </si>
  <si>
    <t>USER4367</t>
  </si>
  <si>
    <t>Proper CASE TEST</t>
  </si>
  <si>
    <t>j4gCJXnGQZPU</t>
  </si>
  <si>
    <t>user456@daum.net</t>
  </si>
  <si>
    <t>01005822825</t>
  </si>
  <si>
    <t>경기도 남구 ^</t>
  </si>
  <si>
    <t xml:space="preserve"> 교사 </t>
  </si>
  <si>
    <t>JQM-650-QZT</t>
  </si>
  <si>
    <t>23-02-21</t>
  </si>
  <si>
    <t>ID-2734</t>
  </si>
  <si>
    <t>LEARN to CODE</t>
  </si>
  <si>
    <t>95%dMV6F!S%s</t>
  </si>
  <si>
    <t xml:space="preserve"> 강호동 </t>
  </si>
  <si>
    <t>test.mail@gmail.com</t>
  </si>
  <si>
    <t>01011672039</t>
  </si>
  <si>
    <t>대구 북구 +</t>
  </si>
  <si>
    <t>GOR-587-XGX</t>
  </si>
  <si>
    <t>2023.03.26</t>
  </si>
  <si>
    <t>CUST_4423</t>
  </si>
  <si>
    <t>ume9fwwQE*#2</t>
  </si>
  <si>
    <t xml:space="preserve"> 이영희 </t>
  </si>
  <si>
    <t>hello123@naver.com</t>
  </si>
  <si>
    <t>010.4598.4750</t>
  </si>
  <si>
    <t>대전 중구 ~</t>
  </si>
  <si>
    <t>DFB-587-FVO</t>
  </si>
  <si>
    <t>2022.02.11</t>
  </si>
  <si>
    <t>ID-7023</t>
  </si>
  <si>
    <t>&amp;vNK&amp;56C0*9f</t>
  </si>
  <si>
    <t xml:space="preserve"> 한지민 </t>
  </si>
  <si>
    <t>user456@kakao.co.kr</t>
  </si>
  <si>
    <t>010 9084 8441</t>
  </si>
  <si>
    <t>울산 중구 +</t>
  </si>
  <si>
    <t>JAX-360-OJI</t>
  </si>
  <si>
    <t>2022/02/20</t>
  </si>
  <si>
    <t>ID-3150</t>
  </si>
  <si>
    <t>EXCEL iS fun</t>
  </si>
  <si>
    <t>THIfL0#Lh&amp;#4</t>
  </si>
  <si>
    <t>hello123@gmail.com</t>
  </si>
  <si>
    <t>010.7398.6873</t>
  </si>
  <si>
    <t>대전 해운대구 #</t>
  </si>
  <si>
    <t>FLI-520-GYW</t>
  </si>
  <si>
    <t>2024/03/08</t>
  </si>
  <si>
    <t>ID-5265</t>
  </si>
  <si>
    <t>$SSrq@NXPTJB</t>
  </si>
  <si>
    <t xml:space="preserve"> 이지은 </t>
  </si>
  <si>
    <t>sample_email@gmail.com</t>
  </si>
  <si>
    <t>010.7460.4783</t>
  </si>
  <si>
    <t>부산 유성구 *</t>
  </si>
  <si>
    <t>UWH-772-WPK</t>
  </si>
  <si>
    <t>22-08-27</t>
  </si>
  <si>
    <t>A9919</t>
  </si>
  <si>
    <t>FxmyP%ehZiB%</t>
  </si>
  <si>
    <t>hello123@yahoo.com</t>
  </si>
  <si>
    <t>010.6554.9216</t>
  </si>
  <si>
    <t>경기도 중구 ?</t>
  </si>
  <si>
    <t xml:space="preserve"> 간호사 </t>
  </si>
  <si>
    <t>DHC-702-ZCP</t>
  </si>
  <si>
    <t>2022/09/26</t>
  </si>
  <si>
    <t>USER1283</t>
  </si>
  <si>
    <t>jYLVWiJ0h0Qj</t>
  </si>
  <si>
    <t>example@gmail.com</t>
  </si>
  <si>
    <t>010.6590.4063</t>
  </si>
  <si>
    <t>경기도 해운대구 ~</t>
  </si>
  <si>
    <t>ANA-255-YUM</t>
  </si>
  <si>
    <t>2022.11.02</t>
  </si>
  <si>
    <t>USER4961</t>
  </si>
  <si>
    <t>TBrT!B#VIGrg</t>
  </si>
  <si>
    <t>010 7453 6546</t>
  </si>
  <si>
    <t>광주 남구 +</t>
  </si>
  <si>
    <t>KII-332-YWH</t>
  </si>
  <si>
    <t>13-Nov-24</t>
  </si>
  <si>
    <t>USER3630</t>
  </si>
  <si>
    <t>a5KtQeFUf8X*</t>
  </si>
  <si>
    <t>example@daum.net</t>
  </si>
  <si>
    <t>010.0645.0426</t>
  </si>
  <si>
    <t>부산 북구 +</t>
  </si>
  <si>
    <t>FIK-425-EQT</t>
  </si>
  <si>
    <t>2023.11.12</t>
  </si>
  <si>
    <t>USER9840</t>
  </si>
  <si>
    <t>0MxSxWzv?7NP</t>
  </si>
  <si>
    <t xml:space="preserve"> 유재석 </t>
  </si>
  <si>
    <t>01016007248</t>
  </si>
  <si>
    <t>광주 강남구 +</t>
  </si>
  <si>
    <t xml:space="preserve"> 개발자 </t>
  </si>
  <si>
    <t>GUG-564-TGU</t>
  </si>
  <si>
    <t>2024/03/16</t>
  </si>
  <si>
    <t>CUST_6648</t>
  </si>
  <si>
    <t>*gUv@EgTRv1v</t>
  </si>
  <si>
    <t>010 1480 3187</t>
  </si>
  <si>
    <t>서울 유성구 *</t>
  </si>
  <si>
    <t>DIT-217-QUO</t>
  </si>
  <si>
    <t>2023/05/11</t>
  </si>
  <si>
    <t>USER7489</t>
  </si>
  <si>
    <t>sAA*x$NHaAv5</t>
  </si>
  <si>
    <t>sample_email@daum.net</t>
  </si>
  <si>
    <t>010-2203-0007</t>
  </si>
  <si>
    <t>대구 중구 ^</t>
  </si>
  <si>
    <t>MRR-255-LTC</t>
  </si>
  <si>
    <t>2023.06.07</t>
  </si>
  <si>
    <t>CUST_3636</t>
  </si>
  <si>
    <t>XbZGUx1UoBrk</t>
  </si>
  <si>
    <t>hello123@kakao.co.kr</t>
  </si>
  <si>
    <t>010-9853-2306</t>
  </si>
  <si>
    <t>경기도 성남시 -</t>
  </si>
  <si>
    <t>MVE-993-MIN</t>
  </si>
  <si>
    <t>2022/02/02</t>
  </si>
  <si>
    <t>CUST_8150</t>
  </si>
  <si>
    <t>trtkw&amp;olr!dw</t>
  </si>
  <si>
    <t>010-3577-2953</t>
  </si>
  <si>
    <t>경기도 유성구 +</t>
  </si>
  <si>
    <t>JHH-195-AKP</t>
  </si>
  <si>
    <t>2024/11/05</t>
  </si>
  <si>
    <t>USER8666</t>
  </si>
  <si>
    <t>$MpkKnv&amp;JE&amp;m</t>
  </si>
  <si>
    <t>01091126233</t>
  </si>
  <si>
    <t>부산 유성구 ?</t>
  </si>
  <si>
    <t>EWT-297-RDE</t>
  </si>
  <si>
    <t>2022/11/11</t>
  </si>
  <si>
    <t>ID-6775</t>
  </si>
  <si>
    <t>nt&amp;P9I9pJjiS</t>
  </si>
  <si>
    <t>010.8189.0001</t>
  </si>
  <si>
    <t>광주 성남시 #</t>
  </si>
  <si>
    <t>MEN-302-TEG</t>
  </si>
  <si>
    <t>22-04-21</t>
  </si>
  <si>
    <t>ID-6625</t>
  </si>
  <si>
    <t>uDzNV*Cu3s5!</t>
  </si>
  <si>
    <t>010 0990 0126</t>
  </si>
  <si>
    <t>경기도 성남시 $</t>
  </si>
  <si>
    <t xml:space="preserve"> 변호사 </t>
  </si>
  <si>
    <t>CVV-900-FQY</t>
  </si>
  <si>
    <t>22-09-24</t>
  </si>
  <si>
    <t>CUST_5673</t>
  </si>
  <si>
    <t>pC4i@ro$Phn!</t>
  </si>
  <si>
    <t>example@kakao.co.kr</t>
  </si>
  <si>
    <t>010.6018.5828</t>
  </si>
  <si>
    <t>서울 해운대구 -</t>
  </si>
  <si>
    <t>APV-773-OYU</t>
  </si>
  <si>
    <t>2022/02/05</t>
  </si>
  <si>
    <t>ID-7785</t>
  </si>
  <si>
    <t>RAGRMx0%wxYA</t>
  </si>
  <si>
    <t>test.mail@daum.net</t>
  </si>
  <si>
    <t>010 3998 9094</t>
  </si>
  <si>
    <t>KVN-189-YPQ</t>
  </si>
  <si>
    <t>18-Jul-24</t>
  </si>
  <si>
    <t>USER2287</t>
  </si>
  <si>
    <t>B%abnGZPu*4Y</t>
  </si>
  <si>
    <t xml:space="preserve"> 정우성 </t>
  </si>
  <si>
    <t>example@naver.com</t>
  </si>
  <si>
    <t>010 1185 0554</t>
  </si>
  <si>
    <t>대구 해운대구 @</t>
  </si>
  <si>
    <t>NTS-187-TUL</t>
  </si>
  <si>
    <t>11-Jan-24</t>
  </si>
  <si>
    <t>CUST_9009</t>
  </si>
  <si>
    <t>LJuCLU#87G9i</t>
  </si>
  <si>
    <t>010.1731.5304</t>
  </si>
  <si>
    <t>대구 유성구 ~</t>
  </si>
  <si>
    <t>XND-117-JTI</t>
  </si>
  <si>
    <t>22-01-11</t>
  </si>
  <si>
    <t>CUST_3275</t>
  </si>
  <si>
    <t>6EMPuhxPzHbe</t>
  </si>
  <si>
    <t>010-7669-2182</t>
  </si>
  <si>
    <t>부산 강남구 &amp;</t>
  </si>
  <si>
    <t>LEJ-185-ZEN</t>
  </si>
  <si>
    <t>23-05-19</t>
  </si>
  <si>
    <t>USER8995</t>
  </si>
  <si>
    <t>EFf9KiDbREfX</t>
  </si>
  <si>
    <t>010.3510.7666</t>
  </si>
  <si>
    <t>대전 성남시 ~</t>
  </si>
  <si>
    <t>IMR-421-KQH</t>
  </si>
  <si>
    <t>24-03-02</t>
  </si>
  <si>
    <t>USER6523</t>
  </si>
  <si>
    <t>*OHtcDVaC#Y#</t>
  </si>
  <si>
    <t>01060382856</t>
  </si>
  <si>
    <t>대전 강남구 @</t>
  </si>
  <si>
    <t>YRY-156-LHN</t>
  </si>
  <si>
    <t>23-10-26</t>
  </si>
  <si>
    <t>ID-1544</t>
  </si>
  <si>
    <t>%o?E#IOT&amp;UB2</t>
  </si>
  <si>
    <t>010 9377 3703</t>
  </si>
  <si>
    <t>광주 성남시 *</t>
  </si>
  <si>
    <t>DIS-363-BNM</t>
  </si>
  <si>
    <t>22-10-24</t>
  </si>
  <si>
    <t>CUST_6179</t>
  </si>
  <si>
    <t>5AF*o&amp;4Yo2QT</t>
  </si>
  <si>
    <t>010 0160 4049</t>
  </si>
  <si>
    <t>대구 해운대구 #</t>
  </si>
  <si>
    <t>RYJ-654-AMV</t>
  </si>
  <si>
    <t>22-03-03</t>
  </si>
  <si>
    <t>A4946</t>
  </si>
  <si>
    <t>3N2LY!60Vpar</t>
  </si>
  <si>
    <t>example@yahoo.com</t>
  </si>
  <si>
    <t>010-2280-2409</t>
  </si>
  <si>
    <t>대전 유성구 ~</t>
  </si>
  <si>
    <t>RUM-463-SRC</t>
  </si>
  <si>
    <t>23-11-16</t>
  </si>
  <si>
    <t>CUST_4623</t>
  </si>
  <si>
    <t>UxS1YP!ZhYYP</t>
  </si>
  <si>
    <t>test.mail@naver.com</t>
  </si>
  <si>
    <t>010 9967 6961</t>
  </si>
  <si>
    <t>대구 북구 ~</t>
  </si>
  <si>
    <t>GSO-517-HXN</t>
  </si>
  <si>
    <t>2023/10/13</t>
  </si>
  <si>
    <t>CUST_5855</t>
  </si>
  <si>
    <t>hW!2XoP9R4sI</t>
  </si>
  <si>
    <t>010 8693 9632</t>
  </si>
  <si>
    <t>대전 성남시 -</t>
  </si>
  <si>
    <t>KRH-474-SYS</t>
  </si>
  <si>
    <t>2023.05.21</t>
  </si>
  <si>
    <t>CUST_9753</t>
  </si>
  <si>
    <t>n$YLiCNcn%f2</t>
  </si>
  <si>
    <t>010 5565 6205</t>
  </si>
  <si>
    <t>서울 해운대구 $</t>
  </si>
  <si>
    <t>CSN-102-UZT</t>
  </si>
  <si>
    <t>23-07-26</t>
  </si>
  <si>
    <t>CUST_2462</t>
  </si>
  <si>
    <t>2wm?bV@JG8%p</t>
  </si>
  <si>
    <t>01065472615</t>
  </si>
  <si>
    <t>서울 해운대구 ?</t>
  </si>
  <si>
    <t>YAH-646-DDS</t>
  </si>
  <si>
    <t>13-Apr-23</t>
  </si>
  <si>
    <t>A7565</t>
  </si>
  <si>
    <t>Inx#D31hGjcH</t>
  </si>
  <si>
    <t xml:space="preserve"> 최준혁 </t>
  </si>
  <si>
    <t>hello123@daum.net</t>
  </si>
  <si>
    <t>01007964586</t>
  </si>
  <si>
    <t>대구 남구 $</t>
  </si>
  <si>
    <t>SJP-915-VOS</t>
  </si>
  <si>
    <t>2024/08/19</t>
  </si>
  <si>
    <t>ID-2279</t>
  </si>
  <si>
    <t>$O69cRfN7Ds@</t>
  </si>
  <si>
    <t>010-3897-0401</t>
  </si>
  <si>
    <t>경기도 중구 +</t>
  </si>
  <si>
    <t>FUC-958-UOG</t>
  </si>
  <si>
    <t>2024.07.04</t>
  </si>
  <si>
    <t>ID-3203</t>
  </si>
  <si>
    <t>PwsN9RM07I%1</t>
  </si>
  <si>
    <t>01023893798</t>
  </si>
  <si>
    <t>대전 남구 -</t>
  </si>
  <si>
    <t>KZG-767-CMO</t>
  </si>
  <si>
    <t>2024.10.25</t>
  </si>
  <si>
    <t>A7730</t>
  </si>
  <si>
    <t>Ug9yT?9vH@7s</t>
  </si>
  <si>
    <t>010.8794.8370</t>
  </si>
  <si>
    <t>광주 성남시 ?</t>
  </si>
  <si>
    <t>SFF-460-XES</t>
  </si>
  <si>
    <t>2024/04/20</t>
  </si>
  <si>
    <t>A2411</t>
  </si>
  <si>
    <t>9#5ieLCGk*82</t>
  </si>
  <si>
    <t>010.9971.3233</t>
  </si>
  <si>
    <t>대전 중구 &amp;</t>
  </si>
  <si>
    <t>GPD-736-RFR</t>
  </si>
  <si>
    <t>23-10-05</t>
  </si>
  <si>
    <t>A9466</t>
  </si>
  <si>
    <t>q9X*XI4$v5zF</t>
  </si>
  <si>
    <t>010 1430 5157</t>
  </si>
  <si>
    <t>경기도 강남구 *</t>
  </si>
  <si>
    <t>AXM-538-AZZ</t>
  </si>
  <si>
    <t>2023/11/26</t>
  </si>
  <si>
    <t>ID-4351</t>
  </si>
  <si>
    <t>yidvn7md!vns</t>
  </si>
  <si>
    <t>01049726310</t>
  </si>
  <si>
    <t>대전 성남시 &amp;</t>
  </si>
  <si>
    <t>FXF-327-EMC</t>
  </si>
  <si>
    <t>03-Dec-23</t>
  </si>
  <si>
    <t>ID-4417</t>
  </si>
  <si>
    <t>Txz0U@sHg7t$</t>
  </si>
  <si>
    <t>01007247444</t>
  </si>
  <si>
    <t>QVZ-533-EMZ</t>
  </si>
  <si>
    <t>22-11-08</t>
  </si>
  <si>
    <t>A4761</t>
  </si>
  <si>
    <t>fs3Cq3IZqwqm</t>
  </si>
  <si>
    <t>010.5016.8360</t>
  </si>
  <si>
    <t>경기도 강남구 #</t>
  </si>
  <si>
    <t>DRE-241-YEC</t>
  </si>
  <si>
    <t>23-11-07</t>
  </si>
  <si>
    <t>ID-7750</t>
  </si>
  <si>
    <t>InTt$0wwdFBL</t>
  </si>
  <si>
    <t>01050903395</t>
  </si>
  <si>
    <t>경기도 해운대구 @</t>
  </si>
  <si>
    <t>FXI-636-VYX</t>
  </si>
  <si>
    <t>2023/06/27</t>
  </si>
  <si>
    <t>A4864</t>
  </si>
  <si>
    <t>%4PN&amp;Hl$UHw9</t>
  </si>
  <si>
    <t>010-1414-7952</t>
  </si>
  <si>
    <t>대구 성남시 -</t>
  </si>
  <si>
    <t>FYX-377-XQP</t>
  </si>
  <si>
    <t>2022.07.11</t>
  </si>
  <si>
    <t>ID-8657</t>
  </si>
  <si>
    <t>tvLjzykbZbJY</t>
  </si>
  <si>
    <t>010.2671.2076</t>
  </si>
  <si>
    <t>경기도 북구 *</t>
  </si>
  <si>
    <t>RET-481-PEF</t>
  </si>
  <si>
    <t>14-May-23</t>
  </si>
  <si>
    <t>USER3337</t>
  </si>
  <si>
    <t>VEBD$1s5Ft3w</t>
  </si>
  <si>
    <t>01064904803</t>
  </si>
  <si>
    <t>울산 남구 ?</t>
  </si>
  <si>
    <t>JPZ-119-MOK</t>
  </si>
  <si>
    <t>22-09-25</t>
  </si>
  <si>
    <t>ID-2759</t>
  </si>
  <si>
    <t>*ip!QCCqmIBv</t>
  </si>
  <si>
    <t>010 9477 6302</t>
  </si>
  <si>
    <t>부산 남구 @</t>
  </si>
  <si>
    <t>YQM-385-QZZ</t>
  </si>
  <si>
    <t>05-Sep-22</t>
  </si>
  <si>
    <t>A1178</t>
  </si>
  <si>
    <t>5%E%duW#ilAY</t>
  </si>
  <si>
    <t>010.3135.8294</t>
  </si>
  <si>
    <t>광주 남구 ~</t>
  </si>
  <si>
    <t>HQO-431-HPQ</t>
  </si>
  <si>
    <t>2022.11.06</t>
  </si>
  <si>
    <t>A3160</t>
  </si>
  <si>
    <t>KSX!sDcV@*7i</t>
  </si>
  <si>
    <t>010 5129 1098</t>
  </si>
  <si>
    <t>경기도 유성구 &amp;</t>
  </si>
  <si>
    <t>WZP-710-DQZ</t>
  </si>
  <si>
    <t>18-May-23</t>
  </si>
  <si>
    <t>A1564</t>
  </si>
  <si>
    <t>zOTzS96g&amp;SkB</t>
  </si>
  <si>
    <t>010-7836-7948</t>
  </si>
  <si>
    <t>부산 남구 ~</t>
  </si>
  <si>
    <t>JHE-832-FHF</t>
  </si>
  <si>
    <t>2024.10.24</t>
  </si>
  <si>
    <t>CUST_8011</t>
  </si>
  <si>
    <t>ZDp4Z7OL4VWQ</t>
  </si>
  <si>
    <t>01014074426</t>
  </si>
  <si>
    <t>부산 강남구 ~</t>
  </si>
  <si>
    <t>MHR-601-ICM</t>
  </si>
  <si>
    <t>2024/12/26</t>
  </si>
  <si>
    <t>USER8675</t>
  </si>
  <si>
    <t>NRur8n8w%kU&amp;</t>
  </si>
  <si>
    <t>010 7197 1113</t>
  </si>
  <si>
    <t>광주 강남구 ^</t>
  </si>
  <si>
    <t>TVS-770-FRY</t>
  </si>
  <si>
    <t>2023/04/18</t>
  </si>
  <si>
    <t>CUST_4208</t>
  </si>
  <si>
    <t>v6FcOaa@8m@c</t>
  </si>
  <si>
    <t>user456@naver.com</t>
  </si>
  <si>
    <t>010.3823.6706</t>
  </si>
  <si>
    <t>경기도 유성구 *</t>
  </si>
  <si>
    <t>GCN-423-SPH</t>
  </si>
  <si>
    <t>21-Nov-24</t>
  </si>
  <si>
    <t>CUST_5403</t>
  </si>
  <si>
    <t>S0JBlklSIzOG</t>
  </si>
  <si>
    <t>010.5687.7680</t>
  </si>
  <si>
    <t>광주 남구 @</t>
  </si>
  <si>
    <t>NLA-415-AJG</t>
  </si>
  <si>
    <t>2023.09.11</t>
  </si>
  <si>
    <t>USER5507</t>
  </si>
  <si>
    <t>t$3$Mr*IzYaS</t>
  </si>
  <si>
    <t>01056899269</t>
  </si>
  <si>
    <t>경기도 북구 ?</t>
  </si>
  <si>
    <t>RKU-542-NAO</t>
  </si>
  <si>
    <t>23-06-12</t>
  </si>
  <si>
    <t>A8702</t>
  </si>
  <si>
    <t>Q8y3jHU5$6Uv</t>
  </si>
  <si>
    <t>010-3672-4954</t>
  </si>
  <si>
    <t>울산 성남시 *</t>
  </si>
  <si>
    <t>TOP-393-PWJ</t>
  </si>
  <si>
    <t>10-Apr-22</t>
  </si>
  <si>
    <t>A1384</t>
  </si>
  <si>
    <t>oyqQWiLut7Hy</t>
  </si>
  <si>
    <t>01096787332</t>
  </si>
  <si>
    <t>경기도 해운대구 -</t>
  </si>
  <si>
    <t>GKM-479-BAE</t>
  </si>
  <si>
    <t>2023/02/10</t>
  </si>
  <si>
    <t>A5206</t>
  </si>
  <si>
    <t>pqcr9purq5P8</t>
  </si>
  <si>
    <t>010-5330-6574</t>
  </si>
  <si>
    <t>서울 중구 *</t>
  </si>
  <si>
    <t>DSJ-547-GVM</t>
  </si>
  <si>
    <t>2022/05/12</t>
  </si>
  <si>
    <t>ID-9994</t>
  </si>
  <si>
    <t>avqZnGvD&amp;4CB</t>
  </si>
  <si>
    <t>010.9963.2316</t>
  </si>
  <si>
    <t>울산 중구 -</t>
  </si>
  <si>
    <t>XYI-350-EUB</t>
  </si>
  <si>
    <t>2022/08/17</t>
  </si>
  <si>
    <t>A7102</t>
  </si>
  <si>
    <t>8&amp;DxD0Zy@mxu</t>
  </si>
  <si>
    <t>010.8739.0628</t>
  </si>
  <si>
    <t>부산 해운대구 ~</t>
  </si>
  <si>
    <t>BLQ-692-TEZ</t>
  </si>
  <si>
    <t>2022/12/20</t>
  </si>
  <si>
    <t>USER3664</t>
  </si>
  <si>
    <t>DOZKyNynsiQz</t>
  </si>
  <si>
    <t>010 8059 6555</t>
  </si>
  <si>
    <t>서울 강남구 #</t>
  </si>
  <si>
    <t>WVK-872-NIB</t>
  </si>
  <si>
    <t>23-04-23</t>
  </si>
  <si>
    <t>CUST_2411</t>
  </si>
  <si>
    <t>luFAHdcNq!oL</t>
  </si>
  <si>
    <t>01084833325</t>
  </si>
  <si>
    <t>부산 북구 @</t>
  </si>
  <si>
    <t>TNJ-158-OTJ</t>
  </si>
  <si>
    <t>24-05-27</t>
  </si>
  <si>
    <t>ID-7018</t>
  </si>
  <si>
    <t>2MaLcDWEeGcT</t>
  </si>
  <si>
    <t>010 6040 0302</t>
  </si>
  <si>
    <t>서울 남구 ^</t>
  </si>
  <si>
    <t>JWN-698-STG</t>
  </si>
  <si>
    <t>2023.05.22</t>
  </si>
  <si>
    <t>A9327</t>
  </si>
  <si>
    <t>LR02hu3x7loq</t>
  </si>
  <si>
    <t>010 1093 3370</t>
  </si>
  <si>
    <t>서울 북구 ~</t>
  </si>
  <si>
    <t>QOD-636-FXT</t>
  </si>
  <si>
    <t>2023.05.26</t>
  </si>
  <si>
    <t>USER9043</t>
  </si>
  <si>
    <t>pDAx?80ZktRg</t>
  </si>
  <si>
    <t>01058839577</t>
  </si>
  <si>
    <t>경기도 강남구 -</t>
  </si>
  <si>
    <t>PCL-817-GRZ</t>
  </si>
  <si>
    <t>2023/04/02</t>
  </si>
  <si>
    <t>A2862</t>
  </si>
  <si>
    <t>8IV7xkLCd6zd</t>
  </si>
  <si>
    <t>01037203630</t>
  </si>
  <si>
    <t>울산 강남구 #</t>
  </si>
  <si>
    <t>OKO-152-ZUP</t>
  </si>
  <si>
    <t>2024/08/01</t>
  </si>
  <si>
    <t>ID-5062</t>
  </si>
  <si>
    <t>!1czGF?vck1V</t>
  </si>
  <si>
    <t>010-9451-9084</t>
  </si>
  <si>
    <t>서울 북구 #</t>
  </si>
  <si>
    <t>BOZ-375-KME</t>
  </si>
  <si>
    <t>22-Dec-22</t>
  </si>
  <si>
    <t>USER9863</t>
  </si>
  <si>
    <t>*Uu32F3rsXfr</t>
  </si>
  <si>
    <t>010.6270.7012</t>
  </si>
  <si>
    <t>부산 성남시 ~</t>
  </si>
  <si>
    <t>MDL-352-PUL</t>
  </si>
  <si>
    <t>24-04-18</t>
  </si>
  <si>
    <t>ID-8636</t>
  </si>
  <si>
    <t>5k41O7cv#O9e</t>
  </si>
  <si>
    <t>010 2255 0873</t>
  </si>
  <si>
    <t>대구 유성구 -</t>
  </si>
  <si>
    <t>ZJP-643-VTE</t>
  </si>
  <si>
    <t>2024/04/21</t>
  </si>
  <si>
    <t>ID-3172</t>
  </si>
  <si>
    <t>zw443S#Is7yp</t>
  </si>
  <si>
    <t>010 4809 8360</t>
  </si>
  <si>
    <t>경기도 북구 ^</t>
  </si>
  <si>
    <t>DDI-130-VSU</t>
  </si>
  <si>
    <t>ID-6051</t>
  </si>
  <si>
    <t>BwRd3aX7W7u$</t>
  </si>
  <si>
    <t>010.5532.5468</t>
  </si>
  <si>
    <t>대구 강남구 *</t>
  </si>
  <si>
    <t>GPK-732-YCW</t>
  </si>
  <si>
    <t>08-Mar-22</t>
  </si>
  <si>
    <t>ID-8866</t>
  </si>
  <si>
    <t>&amp;FsZte4NGkJN</t>
  </si>
  <si>
    <t>010 4840 3566</t>
  </si>
  <si>
    <t>대구 중구 @</t>
  </si>
  <si>
    <t>ZYG-626-JQB</t>
  </si>
  <si>
    <t>24-12-03</t>
  </si>
  <si>
    <t>ID-4338</t>
  </si>
  <si>
    <t>cV?PAzTBjHmg</t>
  </si>
  <si>
    <t>010.4546.0668</t>
  </si>
  <si>
    <t>대전 성남시 #</t>
  </si>
  <si>
    <t>KQY-890-LQK</t>
  </si>
  <si>
    <t>23-08-19</t>
  </si>
  <si>
    <t>ID-1743</t>
  </si>
  <si>
    <t>Ak3OJEYZq61I</t>
  </si>
  <si>
    <t>010.3947.0929</t>
  </si>
  <si>
    <t>대전 남구 *</t>
  </si>
  <si>
    <t>PJR-318-HBV</t>
  </si>
  <si>
    <t>2022/04/15</t>
  </si>
  <si>
    <t>CUST_3017</t>
  </si>
  <si>
    <t>DCrXOxww2kKW</t>
  </si>
  <si>
    <t>010-7711-5429</t>
  </si>
  <si>
    <t>대구 강남구 $</t>
  </si>
  <si>
    <t>RZG-810-BUT</t>
  </si>
  <si>
    <t>22-11-18</t>
  </si>
  <si>
    <t>USER8886</t>
  </si>
  <si>
    <t>Y0fwM!o!vqW&amp;</t>
  </si>
  <si>
    <t>010-4386-2886</t>
  </si>
  <si>
    <t>울산 남구 #</t>
  </si>
  <si>
    <t>PGG-993-DZR</t>
  </si>
  <si>
    <t>2024/02/22</t>
  </si>
  <si>
    <t>A9932</t>
  </si>
  <si>
    <t>Rjj%HOzxZb#S</t>
  </si>
  <si>
    <t>010-2922-3338</t>
  </si>
  <si>
    <t>WXX-170-CJR</t>
  </si>
  <si>
    <t>13-Aug-22</t>
  </si>
  <si>
    <t>USER3937</t>
  </si>
  <si>
    <t>KrKDTi4Ttv0F</t>
  </si>
  <si>
    <t>01090211516</t>
  </si>
  <si>
    <t>EZR-138-IKF</t>
  </si>
  <si>
    <t>09-Apr-23</t>
  </si>
  <si>
    <t>ID-3467</t>
  </si>
  <si>
    <t>yP7BxI!3VZp3</t>
  </si>
  <si>
    <t>010.2747.8986</t>
  </si>
  <si>
    <t>서울 중구 ^</t>
  </si>
  <si>
    <t>SSG-816-QSV</t>
  </si>
  <si>
    <t>20-Sep-22</t>
  </si>
  <si>
    <t>CUST_4572</t>
  </si>
  <si>
    <t>@xTgF3yfs@vU</t>
  </si>
  <si>
    <t>01009967887</t>
  </si>
  <si>
    <t>대구 남구 +</t>
  </si>
  <si>
    <t>ABP-549-KDZ</t>
  </si>
  <si>
    <t>15-Sep-22</t>
  </si>
  <si>
    <t>A1504</t>
  </si>
  <si>
    <t>&amp;1CB&amp;YFS4gK5</t>
  </si>
  <si>
    <t>sample_email@kakao.co.kr</t>
  </si>
  <si>
    <t>010.4757.8084</t>
  </si>
  <si>
    <t>울산 중구 @</t>
  </si>
  <si>
    <t>AUI-746-TFX</t>
  </si>
  <si>
    <t>2022/11/18</t>
  </si>
  <si>
    <t>A2660</t>
  </si>
  <si>
    <t>ACu@CyibaoZk</t>
  </si>
  <si>
    <t>010.7404.5043</t>
  </si>
  <si>
    <t>부산 성남시 #</t>
  </si>
  <si>
    <t>UNM-520-OWD</t>
  </si>
  <si>
    <t>23-01-13</t>
  </si>
  <si>
    <t>ID-8531</t>
  </si>
  <si>
    <t>VMC8tkPC%*4r</t>
  </si>
  <si>
    <t>010 0806 5973</t>
  </si>
  <si>
    <t>ZGG-357-YWH</t>
  </si>
  <si>
    <t>2024.02.13</t>
  </si>
  <si>
    <t>CUST_7631</t>
  </si>
  <si>
    <t>g6tcwq6XOT2s</t>
  </si>
  <si>
    <t>01072177391</t>
  </si>
  <si>
    <t>울산 해운대구 -</t>
  </si>
  <si>
    <t>CEO-460-NLY</t>
  </si>
  <si>
    <t>2022.01.25</t>
  </si>
  <si>
    <t>USER6415</t>
  </si>
  <si>
    <t>Q!iCKMSdJ3As</t>
  </si>
  <si>
    <t>010.6204.2750</t>
  </si>
  <si>
    <t>부산 남구 &amp;</t>
  </si>
  <si>
    <t>QXP-211-MZN</t>
  </si>
  <si>
    <t>28-Jan-23</t>
  </si>
  <si>
    <t>USER7348</t>
  </si>
  <si>
    <t>XeO3uac*n3B0</t>
  </si>
  <si>
    <t>010-3815-6677</t>
  </si>
  <si>
    <t>부산 해운대구 &amp;</t>
  </si>
  <si>
    <t>ETH-228-MEE</t>
  </si>
  <si>
    <t>24-11-08</t>
  </si>
  <si>
    <t>USER3453</t>
  </si>
  <si>
    <t>rhVq3KIY89Ao</t>
  </si>
  <si>
    <t>01006410457</t>
  </si>
  <si>
    <t>부산 강남구 #</t>
  </si>
  <si>
    <t>WRN-650-UZP</t>
  </si>
  <si>
    <t>2024/07/14</t>
  </si>
  <si>
    <t>ID-6444</t>
  </si>
  <si>
    <t>CgWwU2T!I0Bi</t>
  </si>
  <si>
    <t>010-2529-7910</t>
  </si>
  <si>
    <t>부산 해운대구 $</t>
  </si>
  <si>
    <t>EJQ-909-ZZY</t>
  </si>
  <si>
    <t>2023/08/26</t>
  </si>
  <si>
    <t>A3710</t>
  </si>
  <si>
    <t>KgZmS3X#yRd5</t>
  </si>
  <si>
    <t>010 2136 6038</t>
  </si>
  <si>
    <t>XLY-986-QJX</t>
  </si>
  <si>
    <t>2024.02.24</t>
  </si>
  <si>
    <t>A3503</t>
  </si>
  <si>
    <t>$Hgm4NKRhA64</t>
  </si>
  <si>
    <t>01097343533</t>
  </si>
  <si>
    <t>대전 유성구 -</t>
  </si>
  <si>
    <t>OXR-671-XGC</t>
  </si>
  <si>
    <t>27-Oct-23</t>
  </si>
  <si>
    <t>CUST_4263</t>
  </si>
  <si>
    <t>U!*oc*xnIl%g</t>
  </si>
  <si>
    <t>01080966308</t>
  </si>
  <si>
    <t>경기도 북구 @</t>
  </si>
  <si>
    <t>LOD-283-WEI</t>
  </si>
  <si>
    <t>24-Sep-23</t>
  </si>
  <si>
    <t>A6009</t>
  </si>
  <si>
    <t>#7mNDiBXIqi1</t>
  </si>
  <si>
    <t>01077817277</t>
  </si>
  <si>
    <t>대구 중구 +</t>
  </si>
  <si>
    <t>DQJ-287-PGD</t>
  </si>
  <si>
    <t>23-08-02</t>
  </si>
  <si>
    <t>ID-5459</t>
  </si>
  <si>
    <t>II8mpTs@AiuI</t>
  </si>
  <si>
    <t>test.mail@kakao.co.kr</t>
  </si>
  <si>
    <t>010-3816-5126</t>
  </si>
  <si>
    <t>대전 강남구 ~</t>
  </si>
  <si>
    <t>WNX-775-STB</t>
  </si>
  <si>
    <t>2022.01.16</t>
  </si>
  <si>
    <t>A9715</t>
  </si>
  <si>
    <t>eKoCsk0U@vBU</t>
  </si>
  <si>
    <t>010 4469 5546</t>
  </si>
  <si>
    <t>CRN-196-DDQ</t>
  </si>
  <si>
    <t>2023.06.06</t>
  </si>
  <si>
    <t>USER4455</t>
  </si>
  <si>
    <t>0KF&amp;eBKcoJ#k</t>
  </si>
  <si>
    <t>010-7138-7958</t>
  </si>
  <si>
    <t>LOT-496-SWV</t>
  </si>
  <si>
    <t>2022.08.04</t>
  </si>
  <si>
    <t>USER6137</t>
  </si>
  <si>
    <t>I9gXiYtABuWr</t>
  </si>
  <si>
    <t>01096922301</t>
  </si>
  <si>
    <t>JID-529-SUX</t>
  </si>
  <si>
    <t>24-06-14</t>
  </si>
  <si>
    <t>USER9089</t>
  </si>
  <si>
    <t>QlWCyAXz52u6</t>
  </si>
  <si>
    <t>주문 날짜</t>
  </si>
  <si>
    <t>배송 예정일</t>
  </si>
  <si>
    <t>출고 시간</t>
  </si>
  <si>
    <t>도착 시간</t>
  </si>
  <si>
    <t>지연 여부</t>
  </si>
  <si>
    <t>주문 요일</t>
  </si>
  <si>
    <t>월별 주문량</t>
  </si>
  <si>
    <t>연도별 주문량</t>
  </si>
  <si>
    <t>주문 시간대</t>
  </si>
  <si>
    <t>10:09:23</t>
  </si>
  <si>
    <t>10:09 AM</t>
  </si>
  <si>
    <t>정상</t>
  </si>
  <si>
    <t>10:09</t>
  </si>
  <si>
    <t>지연</t>
  </si>
  <si>
    <t>10:09:23 AM</t>
  </si>
  <si>
    <t>점수</t>
  </si>
  <si>
    <t>매출</t>
  </si>
  <si>
    <t>평가 점수</t>
  </si>
  <si>
    <t>근속 연수</t>
  </si>
  <si>
    <t>나이</t>
  </si>
  <si>
    <t>출석률</t>
  </si>
  <si>
    <t>업무 완성도</t>
  </si>
  <si>
    <t>고객 만족도</t>
  </si>
  <si>
    <t>지원 횟수</t>
  </si>
  <si>
    <t>정우성</t>
  </si>
  <si>
    <t>최준혁</t>
  </si>
  <si>
    <t>이영희</t>
  </si>
  <si>
    <t>유재석</t>
  </si>
  <si>
    <t>송하나</t>
  </si>
  <si>
    <t>이지은</t>
  </si>
  <si>
    <t>한지민</t>
  </si>
  <si>
    <t>강호동</t>
  </si>
  <si>
    <t>박민수</t>
  </si>
  <si>
    <t>김철수</t>
  </si>
  <si>
    <t>평가점수등급</t>
    <phoneticPr fontId="3" type="noConversion"/>
  </si>
  <si>
    <t>출석률등급</t>
    <phoneticPr fontId="3" type="noConversion"/>
  </si>
  <si>
    <t>점수순위</t>
    <phoneticPr fontId="3" type="noConversion"/>
  </si>
  <si>
    <t>점수순위(평균)</t>
    <phoneticPr fontId="3" type="noConversion"/>
  </si>
  <si>
    <t>퍼센트순위</t>
    <phoneticPr fontId="3" type="noConversion"/>
  </si>
  <si>
    <t>배송소요일</t>
    <phoneticPr fontId="3" type="noConversion"/>
  </si>
  <si>
    <t>출고시간통일</t>
    <phoneticPr fontId="3" type="noConversion"/>
  </si>
  <si>
    <t>주문요일추출</t>
    <phoneticPr fontId="3" type="noConversion"/>
  </si>
  <si>
    <t>주문시간대변환</t>
    <phoneticPr fontId="3" type="noConversion"/>
  </si>
  <si>
    <t>공백제거</t>
    <phoneticPr fontId="3" type="noConversion"/>
  </si>
  <si>
    <t>이메일아이디</t>
    <phoneticPr fontId="3" type="noConversion"/>
  </si>
  <si>
    <t>전화번호추출</t>
    <phoneticPr fontId="3" type="noConversion"/>
  </si>
  <si>
    <t>고객ID숫자만</t>
    <phoneticPr fontId="3" type="noConversion"/>
  </si>
  <si>
    <t>특수문자제거</t>
    <phoneticPr fontId="3" type="noConversion"/>
  </si>
  <si>
    <t>나이대</t>
    <phoneticPr fontId="3" type="noConversion"/>
  </si>
  <si>
    <t>60대이상</t>
    <phoneticPr fontId="3" type="noConversion"/>
  </si>
  <si>
    <t>50대이상~60대미만</t>
    <phoneticPr fontId="3" type="noConversion"/>
  </si>
  <si>
    <t>40대이상~50대미만</t>
    <phoneticPr fontId="3" type="noConversion"/>
  </si>
  <si>
    <t>30대이상~40대미만</t>
    <phoneticPr fontId="3" type="noConversion"/>
  </si>
  <si>
    <t>20대이상~30대미만</t>
    <phoneticPr fontId="3" type="noConversion"/>
  </si>
  <si>
    <t>20대미만</t>
    <phoneticPr fontId="3" type="noConversion"/>
  </si>
  <si>
    <t>인원수</t>
    <phoneticPr fontId="3" type="noConversion"/>
  </si>
  <si>
    <t>항목</t>
  </si>
  <si>
    <t>전체 평균</t>
  </si>
  <si>
    <t>최댓값</t>
  </si>
  <si>
    <t>최솟값</t>
  </si>
  <si>
    <t>총합</t>
  </si>
  <si>
    <t>개수</t>
  </si>
  <si>
    <t>고객명</t>
  </si>
  <si>
    <t>제품명</t>
  </si>
  <si>
    <t>카테고리</t>
  </si>
  <si>
    <t>지역</t>
  </si>
  <si>
    <t>판매 수량</t>
  </si>
  <si>
    <t>단가</t>
  </si>
  <si>
    <t>판매 날짜</t>
  </si>
  <si>
    <t>할인율</t>
  </si>
  <si>
    <t>총 매출</t>
  </si>
  <si>
    <t>냉장고</t>
  </si>
  <si>
    <t>가전</t>
  </si>
  <si>
    <t>서울</t>
  </si>
  <si>
    <t>스마트폰</t>
  </si>
  <si>
    <t>부산</t>
  </si>
  <si>
    <t>전자레인지</t>
  </si>
  <si>
    <t>오디오</t>
  </si>
  <si>
    <t>노트북</t>
  </si>
  <si>
    <t>컴퓨터</t>
  </si>
  <si>
    <t>전라</t>
  </si>
  <si>
    <t>스마트워치</t>
  </si>
  <si>
    <t>생활가전</t>
  </si>
  <si>
    <t>전자제품</t>
  </si>
  <si>
    <t>대구</t>
  </si>
  <si>
    <t>인천</t>
  </si>
  <si>
    <t>헤드폰</t>
  </si>
  <si>
    <t>충청</t>
  </si>
  <si>
    <t>TV</t>
  </si>
  <si>
    <t>경기</t>
  </si>
  <si>
    <t>대전</t>
  </si>
  <si>
    <t>모바일</t>
  </si>
  <si>
    <t>세탁기</t>
  </si>
  <si>
    <t>카메라</t>
  </si>
  <si>
    <t>광주</t>
  </si>
  <si>
    <t>경상</t>
  </si>
  <si>
    <t>강원</t>
  </si>
  <si>
    <t>울산</t>
  </si>
  <si>
    <t>태블릿</t>
  </si>
  <si>
    <t>제주</t>
  </si>
  <si>
    <t>할인율 범위</t>
  </si>
  <si>
    <t>평균 매출</t>
  </si>
  <si>
    <t>거래 건수</t>
  </si>
  <si>
    <t>0~10%</t>
  </si>
  <si>
    <t>단가 범위</t>
  </si>
  <si>
    <t>0~10만원</t>
  </si>
  <si>
    <t>10~50만원</t>
  </si>
  <si>
    <t>50만원 이상</t>
  </si>
  <si>
    <t>순위</t>
  </si>
  <si>
    <t>총 판매량</t>
  </si>
  <si>
    <t>1위</t>
  </si>
  <si>
    <t>2위</t>
  </si>
  <si>
    <t>3위</t>
  </si>
  <si>
    <t>1월</t>
  </si>
  <si>
    <t>2월</t>
  </si>
  <si>
    <t>3월</t>
  </si>
  <si>
    <t>4월</t>
  </si>
  <si>
    <t>5월</t>
  </si>
  <si>
    <t>6월</t>
  </si>
  <si>
    <t>7월</t>
  </si>
  <si>
    <t>8월</t>
  </si>
  <si>
    <t>9월</t>
  </si>
  <si>
    <t>10월</t>
  </si>
  <si>
    <t>전월대비</t>
  </si>
  <si>
    <t>가전</t>
    <phoneticPr fontId="3" type="noConversion"/>
  </si>
  <si>
    <t>오디오</t>
    <phoneticPr fontId="3" type="noConversion"/>
  </si>
  <si>
    <t>컴퓨터</t>
    <phoneticPr fontId="3" type="noConversion"/>
  </si>
  <si>
    <t>생활가전</t>
    <phoneticPr fontId="3" type="noConversion"/>
  </si>
  <si>
    <t>전자제품</t>
    <phoneticPr fontId="3" type="noConversion"/>
  </si>
  <si>
    <t>모바일</t>
    <phoneticPr fontId="3" type="noConversion"/>
  </si>
  <si>
    <t>카메라</t>
    <phoneticPr fontId="3" type="noConversion"/>
  </si>
  <si>
    <t>행 레이블</t>
  </si>
  <si>
    <t>총합계</t>
  </si>
  <si>
    <t>2022년</t>
  </si>
  <si>
    <t>2023년</t>
  </si>
  <si>
    <t>2024년</t>
  </si>
  <si>
    <t>합계 : 총 매출</t>
  </si>
  <si>
    <t>열 레이블</t>
  </si>
  <si>
    <t>거래 ID</t>
  </si>
  <si>
    <t>날짜</t>
  </si>
  <si>
    <t>거래 유형</t>
  </si>
  <si>
    <t>금액 (₩)</t>
  </si>
  <si>
    <t>T001</t>
  </si>
  <si>
    <t>제품 A 판매</t>
  </si>
  <si>
    <t>T002</t>
  </si>
  <si>
    <t>제품 B 판매</t>
  </si>
  <si>
    <t>T003</t>
  </si>
  <si>
    <t>비용</t>
  </si>
  <si>
    <t>마케팅 비용</t>
  </si>
  <si>
    <t>T004</t>
  </si>
  <si>
    <t>광고비</t>
  </si>
  <si>
    <t>T005</t>
  </si>
  <si>
    <t>제품 C 판매</t>
  </si>
  <si>
    <t>T006</t>
  </si>
  <si>
    <t>인건비 지급</t>
  </si>
  <si>
    <t>T007</t>
  </si>
  <si>
    <t>신제품 출시</t>
  </si>
  <si>
    <t>T008</t>
  </si>
  <si>
    <t>추가 제품 판매</t>
  </si>
  <si>
    <t>T009</t>
  </si>
  <si>
    <t>창고 유지비</t>
  </si>
  <si>
    <t>T010</t>
  </si>
  <si>
    <t>세금 납부</t>
  </si>
  <si>
    <t>T011</t>
  </si>
  <si>
    <t>대량 주문</t>
  </si>
  <si>
    <t>T012</t>
  </si>
  <si>
    <t>R&amp;D 투자</t>
  </si>
  <si>
    <t>T013</t>
  </si>
  <si>
    <t>신규 고객 유입</t>
  </si>
  <si>
    <t>T014</t>
  </si>
  <si>
    <t>추가 인건비</t>
  </si>
  <si>
    <t>T015</t>
  </si>
  <si>
    <t>프리미엄 제품 판매</t>
  </si>
  <si>
    <t>T016</t>
  </si>
  <si>
    <t>장비 구입</t>
  </si>
  <si>
    <t>T017</t>
  </si>
  <si>
    <t>해외 시장 매출</t>
  </si>
  <si>
    <t>T018</t>
  </si>
  <si>
    <t>운영 비용</t>
  </si>
  <si>
    <t>T019</t>
  </si>
  <si>
    <t>프로모션 이벤트</t>
  </si>
  <si>
    <t>T020</t>
  </si>
  <si>
    <t>사무실 임대료</t>
  </si>
  <si>
    <t>T021</t>
  </si>
  <si>
    <t>연말 프로모션</t>
  </si>
  <si>
    <t>T022</t>
  </si>
  <si>
    <t>유지보수 비용</t>
  </si>
  <si>
    <t>T023</t>
  </si>
  <si>
    <t>VIP 고객 판매</t>
  </si>
  <si>
    <t>T024</t>
  </si>
  <si>
    <t>세금 정산</t>
  </si>
  <si>
    <t>T025</t>
  </si>
  <si>
    <t>연말 대량 판매</t>
  </si>
  <si>
    <t>11월</t>
  </si>
  <si>
    <t>12월</t>
  </si>
  <si>
    <t>합계 : 금액 (₩)</t>
  </si>
  <si>
    <t>합계 : 판매 수량</t>
  </si>
  <si>
    <t>0-0.05</t>
  </si>
  <si>
    <t>0.05-0.1</t>
  </si>
  <si>
    <t>0.1-0.15</t>
  </si>
  <si>
    <t>0.15-0.2</t>
  </si>
  <si>
    <t>0.2-0.25</t>
  </si>
  <si>
    <t>0.25-0.3</t>
  </si>
  <si>
    <t>0.3-0.35</t>
  </si>
  <si>
    <t>0.35-0.4</t>
  </si>
  <si>
    <t>0.4-0.45</t>
  </si>
  <si>
    <t>0.45-0.5</t>
  </si>
  <si>
    <t>연도</t>
    <phoneticPr fontId="3" type="noConversion"/>
  </si>
  <si>
    <t>월</t>
    <phoneticPr fontId="3" type="noConversion"/>
  </si>
  <si>
    <t>일</t>
    <phoneticPr fontId="3" type="noConversion"/>
  </si>
  <si>
    <t>화</t>
  </si>
  <si>
    <t>수</t>
  </si>
  <si>
    <t>목</t>
  </si>
  <si>
    <t>금</t>
  </si>
  <si>
    <t>토</t>
  </si>
  <si>
    <t>제품 설명 (영어)</t>
  </si>
  <si>
    <t>제품 설명 (한국어)</t>
  </si>
  <si>
    <t>제품 A</t>
  </si>
  <si>
    <t>"This is a revolutionary new product that will change the way you work."</t>
  </si>
  <si>
    <t>제품 B</t>
  </si>
  <si>
    <t>"An innovative solution designed to improve efficiency and productivity in your daily tasks."</t>
  </si>
  <si>
    <t>{"hash":"aab798e1908f8216c73a797a91abc006110428270e14f29c5e0cdb8cf695d85d","version":1,"value":"[[\"제품명\"]]"}</t>
  </si>
  <si>
    <t>고객ID</t>
    <phoneticPr fontId="3" type="noConversion"/>
  </si>
  <si>
    <t>리뷰긍부정</t>
  </si>
  <si>
    <t>리뷰긍부정</t>
    <phoneticPr fontId="3" type="noConversion"/>
  </si>
  <si>
    <t>리뷰</t>
    <phoneticPr fontId="3" type="noConversion"/>
  </si>
  <si>
    <t>"디자인이 너무 예뻐요!" 주방 인테리어와 완벽하게 어울리는 비스포크 컬러가 마음에 들어요.</t>
  </si>
  <si>
    <t>"해동 기능이 정말 만족스럽습니다." 냉동 식품을 고르게 해동할 수 있어서 편리해요.</t>
  </si>
  <si>
    <t>"가격 대비 성능이 조금 아쉬워요." 디자인은 예쁘지만, 비슷한 가격대 제품보다 기능이 많지는 않아요.</t>
  </si>
  <si>
    <t>"소음이 거의 없어서 좋아요." 작동할 때 조용해서 밤에도 부담 없이 사용할 수 있어요.</t>
  </si>
  <si>
    <t>"버튼 조작이 직관적이라 사용하기 편리해요." 터치 패널 반응이 빠르고 조작법이 간단해요.</t>
  </si>
  <si>
    <t>"삼성 A/S가 있어서 믿고 구매했어요." 전국 서비스센터에서 쉽게 수리받을 수 있어요.</t>
  </si>
  <si>
    <t>"가열 속도가 빠르고 균일해요." 음식을 데울 때 군데군데 차가운 부분이 없이 골고루 가열돼요.</t>
  </si>
  <si>
    <t>"크기가 적당해서 1~2인 가구에 딱 좋아요." 내부 공간이 넉넉하면서도 크기가 부담스럽지 않아요.</t>
  </si>
  <si>
    <t>"그릴 기능이 있어서 활용도가 높아요!" 간단한 요리를 할 수 있어서 전자레인지 이상으로 활용 가능해요.</t>
  </si>
  <si>
    <t>"스마트 기능이 있어서 편리해요." 스마트 앱과 연동해서 레시피 추천을 받고 조리를 조작할 수 있어요.</t>
  </si>
  <si>
    <t>번호</t>
  </si>
  <si>
    <t>사용일자</t>
  </si>
  <si>
    <t>계정과목</t>
  </si>
  <si>
    <t>스타벅스</t>
  </si>
  <si>
    <t>복리후생비</t>
  </si>
  <si>
    <t>직원 간식비</t>
  </si>
  <si>
    <t>GS25 편의점</t>
  </si>
  <si>
    <t>소모품비</t>
  </si>
  <si>
    <t>사무용 간식 및 생필품</t>
  </si>
  <si>
    <t>무신사</t>
  </si>
  <si>
    <t>직원 유니폼 구매</t>
  </si>
  <si>
    <t>배달의민족</t>
  </si>
  <si>
    <t>접대비</t>
  </si>
  <si>
    <t>거래처 미팅 점심</t>
  </si>
  <si>
    <t>카카오T</t>
  </si>
  <si>
    <t>여비교통비</t>
  </si>
  <si>
    <t>출장 택시비</t>
  </si>
  <si>
    <t>SK주유소</t>
  </si>
  <si>
    <t>차량유지비</t>
  </si>
  <si>
    <t>업무용 차량 주유</t>
  </si>
  <si>
    <t>넷플릭스</t>
  </si>
  <si>
    <t>광고선전비</t>
  </si>
  <si>
    <t>마케팅 트렌드 조사</t>
  </si>
  <si>
    <t>서울아산병원</t>
  </si>
  <si>
    <t>직원 건강검진 비용</t>
  </si>
  <si>
    <t>신한카드</t>
  </si>
  <si>
    <t>지급수수료</t>
  </si>
  <si>
    <t>신용카드 연회비</t>
  </si>
  <si>
    <t>롯데시네마</t>
  </si>
  <si>
    <t>직원 문화 활동 지원</t>
  </si>
  <si>
    <t>이마트</t>
  </si>
  <si>
    <t>사무실 다과 및 생활용품</t>
  </si>
  <si>
    <t>대한항공</t>
  </si>
  <si>
    <t>국내 출장 항공권</t>
  </si>
  <si>
    <t>쿠팡</t>
  </si>
  <si>
    <t>비품비</t>
  </si>
  <si>
    <t>사무실 전자기기 구매</t>
  </si>
  <si>
    <t>현대백화점</t>
  </si>
  <si>
    <t>거래처 선물 구입</t>
  </si>
  <si>
    <t>맥도날드</t>
  </si>
  <si>
    <t>직원 회식비</t>
  </si>
  <si>
    <t>LG유플러스</t>
  </si>
  <si>
    <t>사무실 인터넷 요금</t>
  </si>
  <si>
    <t>알라딘 서점</t>
  </si>
  <si>
    <t>업무 관련 도서 구매</t>
  </si>
  <si>
    <t>피트니스 센터</t>
  </si>
  <si>
    <t>직원 건강 관리 비용</t>
  </si>
  <si>
    <t>한국장학재단</t>
  </si>
  <si>
    <t>사회공헌 기부금</t>
  </si>
  <si>
    <t>삼성화재</t>
  </si>
  <si>
    <t>업무용 차량 보험 납부</t>
  </si>
  <si>
    <t>{"hash":"8b49d7074019892eb5734fbb9b7db8b7b3f086496a9584d32d59a443cddb394a","version":1,"value":"[[\"접대비\"],[\"복리후생비\"],[\"통신비\"],[\"도서구입비\"],[\"복리후생비\"],[\"기부금\"],[\"보험료\"]]"}</t>
  </si>
  <si>
    <t>"동만 추출"</t>
    <phoneticPr fontId="3" type="noConversion"/>
  </si>
  <si>
    <t>주소 (도로명)</t>
  </si>
  <si>
    <t>주소 (지번)</t>
  </si>
  <si>
    <t>서울특별시 강남구 테헤란로 123</t>
  </si>
  <si>
    <t>서울특별시 강남구 역삼동 789-1</t>
  </si>
  <si>
    <t>서울특별시 종로구 세종대로 45</t>
  </si>
  <si>
    <t>서울특별시 종로구 신문로1가 202</t>
  </si>
  <si>
    <t>부산광역시 해운대구 해운대로 301</t>
  </si>
  <si>
    <t>부산광역시 해운대구 우동 88-3</t>
  </si>
  <si>
    <t>대구광역시 중구 동성로 200</t>
  </si>
  <si>
    <t>대구광역시 중구 동성동 33-5</t>
  </si>
  <si>
    <t>인천광역시 남동구 예술로 50</t>
  </si>
  <si>
    <t>인천광역시 남동구 구월동 12-7</t>
  </si>
  <si>
    <t>광주광역시 서구 상무대로 250</t>
  </si>
  <si>
    <t>광주광역시 서구 치평동 100-2</t>
  </si>
  <si>
    <t>대전광역시 서구 둔산로 99</t>
  </si>
  <si>
    <t>대전광역시 서구 둔산동 54-8</t>
  </si>
  <si>
    <t>울산광역시 남구 삼산로 150</t>
  </si>
  <si>
    <t>울산광역시 남구 삼산동 120-3</t>
  </si>
  <si>
    <t>경기도 성남시 분당구 판교로 75</t>
  </si>
  <si>
    <t>경기도 성남시 분당구 판교동 90-5</t>
  </si>
  <si>
    <t>경기도 수원시 영통구 광교로 88</t>
  </si>
  <si>
    <t>경기도 수원시 영통구 광교동 11-2</t>
  </si>
  <si>
    <t>충청북도 청주시 상당구 상당로 120</t>
  </si>
  <si>
    <t>충청북도 청주시 상당구 북문로2가 14-7</t>
  </si>
  <si>
    <t>충청남도 천안시 서북구 불당로 77</t>
  </si>
  <si>
    <t>충청남도 천안시 서북구 불당동 23-9</t>
  </si>
  <si>
    <t>전라북도 전주시 완산구 전주천동로 130</t>
  </si>
  <si>
    <t>전라북도 전주시 완산구 중앙동 77-3</t>
  </si>
  <si>
    <t>전라남도 여수시 돌산읍 돌산로 210</t>
  </si>
  <si>
    <t>전라남도 여수시 돌산읍 우두리 40-2</t>
  </si>
  <si>
    <t>경상북도 포항시 북구 중앙로 160</t>
  </si>
  <si>
    <t>경상북도 포항시 북구 죽도동 99-1</t>
  </si>
  <si>
    <t>{"hash":"ca2142e3bfe0faed90a36ef95f524c391210ca7ce33a0e90b696c46cd4b5a96d","version":1,"value":"[[\"역삼동\"]]"}</t>
  </si>
  <si>
    <t>{"hash":"1adca06ca492411a0f939c24c666c0ac5b4a0dc35affbfb83b764c6533bbe4a5","version":1,"value":"[[\"우동\"]]"}</t>
  </si>
  <si>
    <t>{"hash":"d86193ac7e72ea52eee01e2399c2c05e283971aa516619f452d3a78f76e8f754","version":1,"value":"[[\"신문로1가\"]]"}</t>
  </si>
  <si>
    <t>{"hash":"684ab66dab430a722ca84cb5b3b2a4c9e0f62fbc834737ab7e533c0c5747f708","version":1,"value":"[[\"중앙동\"]]"}</t>
  </si>
  <si>
    <t>{"hash":"20dec63f091e2911cc4f31c8629a526a64a2d51f59eaef4a6fa840ff689ac35b","version":1,"value":"[[\"불당동\"]]"}</t>
  </si>
  <si>
    <t>{"hash":"fac5c2f6f8fa677de98b5fa0fe11a4ffbc9e33d29c6024f4bc4d5867a7b4050b","version":1,"value":"[[\"동성동\"]]"}</t>
  </si>
  <si>
    <t>{"hash":"b923f84a3c79cf38f31fed76449710a8c9430a9b51f884cd47391991712e6fec","version":1,"value":"[[\"돌산읍, 우두리\"]]"}</t>
  </si>
  <si>
    <t>{"hash":"f865c791c645d3cf9c5e8432d12623bb9046b5ec952b9d64f5779acf0e16bb64","version":1,"value":"[[\"죽도동\"]]"}</t>
  </si>
  <si>
    <t>{"hash":"3d11be41166100a10610f709d6c503a41ea3509bd1f6393a429d47b7f312bdaa","version":1,"value":"[[\"치평동\"]]"}</t>
  </si>
  <si>
    <t>{"hash":"977186a85dcb1714db5ca23f2984c8f74b63c5ad04dd4ae225a9af5247bdcd1b","version":1,"value":"[[\"판교동\"]]"}</t>
  </si>
  <si>
    <t>{"hash":"95ee50aab08d0d057d133f7e76e3c9989072951c82be6ef46981c83e4f0eb4e6","version":1,"value":"[[\"구월동\"]]"}</t>
  </si>
  <si>
    <t>{"hash":"d7599cda09723084e31aff7a11a6a6257dd7058bfb2b2bc42e4eb79054de91e8","version":1,"value":"[[\"삼산동\"]]"}</t>
  </si>
  <si>
    <t>{"hash":"6e5c4ea681b82171872b3316796837617146848882970fb9d5cc6e44197ef7f1","version":1,"value":"[[\"둔산동\"]]"}</t>
  </si>
  <si>
    <t>{"hash":"1c47783cbd4183ee47dcc183384e346fd77e35ceaa214414f99f6749e32df258","version":1,"value":"[[\"북문로2가\"]]"}</t>
  </si>
  <si>
    <t>{"hash":"c7262817744513b6476b40d8dfdf93b89e08c12a08bc6dc13c174293d65e4ed2","version":1,"value":"[[\"광교동\"]]"}</t>
  </si>
  <si>
    <t>함수설명</t>
    <phoneticPr fontId="3" type="noConversion"/>
  </si>
  <si>
    <t>SUM</t>
  </si>
  <si>
    <t>AVERAGE</t>
  </si>
  <si>
    <t>IF</t>
  </si>
  <si>
    <t>VLOOKUP</t>
  </si>
  <si>
    <t>HLOOKUP</t>
  </si>
  <si>
    <t>INDEX</t>
  </si>
  <si>
    <t>MATCH</t>
  </si>
  <si>
    <t>LEFT</t>
  </si>
  <si>
    <t>RIGHT</t>
  </si>
  <si>
    <t>LEN</t>
  </si>
  <si>
    <t>미국 AI스타트업</t>
    <phoneticPr fontId="3" type="noConversion"/>
  </si>
  <si>
    <t>OpenAI</t>
  </si>
  <si>
    <t>Anthropic</t>
  </si>
  <si>
    <t>Cohere</t>
  </si>
  <si>
    <t>Adept</t>
  </si>
  <si>
    <t>Inflection AI</t>
  </si>
  <si>
    <t>Scale AI</t>
  </si>
  <si>
    <t>AlphaSense</t>
  </si>
  <si>
    <t>Vectra AI</t>
  </si>
  <si>
    <t>Nuro</t>
  </si>
  <si>
    <t>회사설명</t>
    <phoneticPr fontId="3" type="noConversion"/>
  </si>
  <si>
    <t>주요서비스</t>
    <phoneticPr fontId="3" type="noConversion"/>
  </si>
  <si>
    <t>리뷰답장</t>
    <phoneticPr fontId="3" type="noConversion"/>
  </si>
  <si>
    <t>"광역지자체"</t>
    <phoneticPr fontId="3" type="noConversion"/>
  </si>
  <si>
    <t>당신의 성함은?</t>
  </si>
  <si>
    <t>고객님의 성함은 어떻게 되시나요?</t>
  </si>
  <si>
    <t>브랜드를 얼마나 자주 이용하시나요?</t>
  </si>
  <si>
    <t>브랜드 오프라인 매장을 일주일에 몇 회 이상 방문하시나요? (전국 모든 오프라인 매장 대상)</t>
  </si>
  <si>
    <t>서비스의 아쉬운 점은?</t>
  </si>
  <si>
    <t>서비스를 이용하시면서 어떤 부분이 아쉬우셨나요?</t>
  </si>
  <si>
    <t>가장 좋아하는 음식은 무엇입니까?</t>
  </si>
  <si>
    <t>다음 중 가장 좋아하는 음식을 선택해 주세요: 햄버거와 감자튀김, 스파게티와 미트볼, 초밥, 샐러드</t>
  </si>
  <si>
    <t>이벤트에 만족하셨습니까?</t>
  </si>
  <si>
    <t>이번 이벤트에 얼마나 만족하셨습니까? (매우 만족, 만족, 보통, 불만족, 매우 불만족)</t>
  </si>
  <si>
    <t>제품 가격은 적절하다고 생각하십니까?</t>
  </si>
  <si>
    <t>제품 가격에 대한 귀하의 의견은 무엇입니까? (매우 비쌈, 비쌈, 적절함, 저렴함, 매우 저렴함)</t>
  </si>
  <si>
    <t>고객 지원 서비스에 대해 어떻게 생각하십니까?</t>
  </si>
  <si>
    <t>고객 지원 서비스의 응답 속도와 친절도에 대해 어떻게 평가하시겠습니까?</t>
  </si>
  <si>
    <t>웹사이트 사용이 편리하셨나요?</t>
  </si>
  <si>
    <t>웹사이트의 탐색 용이성과 정보 접근성에 대해 어떻게 평가하시겠습니까?</t>
  </si>
  <si>
    <t>배송 시간에 만족하셨습니까?</t>
  </si>
  <si>
    <t>주문하신 상품의 배송 시간은 귀하의 기대에 부합하였습니까?</t>
  </si>
  <si>
    <t>제품 품질은 어떻습니까?</t>
  </si>
  <si>
    <t>제품의 내구성, 디자인, 기능성에 대해 각각 어떻게 평가하시겠습니까?</t>
  </si>
  <si>
    <t>질문리스트</t>
    <phoneticPr fontId="3" type="noConversion"/>
  </si>
  <si>
    <t>질문매칭</t>
    <phoneticPr fontId="3" type="noConversion"/>
  </si>
  <si>
    <t>강점(Strength)</t>
  </si>
  <si>
    <t>약점(Weakness)</t>
  </si>
  <si>
    <t>기회(Oppertunity)</t>
  </si>
  <si>
    <t>위협(Threat)</t>
  </si>
  <si>
    <t>{"hash":"10dbea1aaa7611357c60e1ac2aa2168e5221348e3a545554a87e6f66eb58d39d","version":1,"value":"[[\"- 작업 프로세스 최적화로 시간과 비용 절감\\n- 대량 데이터의 신속하고 정확한 분석\\n- 실시간 데이터로 빠른 의사결정 지원\\n- 다양한 환경에 맞춘 유연한 로봇 동작\\n- 신속하고 정확한 배송으로 고객 만족도 향상\"]]"}</t>
  </si>
  <si>
    <t>주제</t>
    <phoneticPr fontId="3" type="noConversion"/>
  </si>
  <si>
    <t>회사상황/컨셉</t>
    <phoneticPr fontId="3" type="noConversion"/>
  </si>
  <si>
    <t>맛없는 녹용을 라면맛이 나게 만든 건강기능식품이다.
특허를 가지고 있다. 녹용건강기능식품 개별인정형 원료등재되었다.
대한민국에 라면맛 녹용은 지금까지 없었다.</t>
    <phoneticPr fontId="3" type="noConversion"/>
  </si>
  <si>
    <t xml:space="preserve">10대를 위한 건강기능식품 라면맛 녹용스프 </t>
    <phoneticPr fontId="3" type="noConversion"/>
  </si>
  <si>
    <t>{"hash":"b79fc3a2361c0443121ee8212959a30fc27a8990829049ca809546d7bd807058","version":1,"value":"[[\"- 특허 보유로 인한 독점적 시장 지위 확보\\n- 기존 녹용 제품과 차별화된 맛으로 소비자 유인\\n- 10대 타겟팅으로 새로운 시장 개척 가능성\\n- 건강기능식품으로서의 기능성 및 효능 인정\\n- 개별인정형 원료 등재로 신뢰성 및 안전성 강화\"]]"}</t>
  </si>
  <si>
    <t>{"hash":"b076ee1ade5a55dea018d180acfdf0605cd1c481f155b5c835ee75910f146bc7","version":1,"value":"[[\"- 라면맛이 모든 소비자에게 매력적이지 않을 수 있음.\\n- 건강기능식품으로서의 효능에 대한 소비자 신뢰 부족 가능성.\\n- 기존 녹용 제품과의 차별화 부족으로 인한 시장 경쟁력 약화.\\n- 새로운 맛에 대한 소비자 수용성 및 적응 기간 필요.\\n- 가격이 일반 라면보다 높아 소비자 구매 저항 발생 가능성.\"]]"}</t>
  </si>
  <si>
    <t>{"hash":"4f5f2ddc6709431ddcfe60d1a13a74571d7073b041d0abc9d7384cf3bfece110","version":1,"value":"[[\"- 강점: 특허 보유로 인한 독점적 시장 지위, 개별인정형 원료 등재로 신뢰성 확보\\n- 약점: 라면맛이라는 독특한 맛이 모든 소비자에게 호감을 주지 않을 수 있음\\n- 기회: 10대 소비자층의 건강에 대한 관심 증가, 새로운 맛의 건강기능식품에 대한 호기심\\n- 위협: 경쟁사들의 유사 제품 개발 가능성, 건강기능식품에 대한 규제 강화\\n- 강점: 대한민국 최초의 라면맛 녹용 제품으로 인한 시장 선점 효과\"]]"}</t>
  </si>
  <si>
    <t>{"hash":"ff516c684c617d853cd61fc7d8b478b8ff3dec004bac9e8190b5fa5f9151eda7","version":1,"value":"[[\"- 독창적인 맛과 아이디어로 시장에서 차별화 가능성\\n- 10대 소비자층의 건강에 대한 관심 증가\\n- 건강기능식품 시장의 지속적인 성장\\n- 특허 보유로 인한 경쟁자 진입 장벽\\n- 새로운 맛과 형태의 건강기능식품에 대한 소비자 호기심 증가\"]]"}</t>
  </si>
  <si>
    <t>{"hash":"7e40e69c462d08ca4547c5f36126ef471b754182a5863400348e1955854aedc2","version":1,"value":"[[\"- 기존 건강기능식품 시장의 경쟁 심화\\n- 소비자들의 건강기능식품에 대한 신뢰 부족\\n- 라면맛에 대한 선호도 차이로 인한 시장 수용성 불확실\\n- 유사 제품의 출현 가능성 및 특허 침해 우려\\n- 건강 트렌드 변화에 따른 수요 감소 가능성\"]]"}</t>
  </si>
  <si>
    <t>{"hash":"1909a82a7fc8b3a37c1629c8ac1aafb6a0083503a0141fe3df018bf869eeccbc","version":1,"value":"[[\"- 특허를 활용하여 독점적 시장 지위를 강화하고 경쟁자 진입을 방지.\\n- 10대 소비자층을 대상으로 한 마케팅 캠페인을 통해 브랜드 인지도 확장.\\n- 차별화된 맛을 강조하여 기존 녹용 제품과의 차별성을 부각.\\n- 건강기능식품의 기능성과 효능을 홍보하여 신뢰성을 구축.\\n- 새로운 맛과 형태의 제품 개발을 통해 소비자 호기심을 지속적으로 자극.\"]]"}</t>
  </si>
  <si>
    <t>{"hash":"2c45ea364df713a661fb07bc5cb7f168205ca056cb77600b6c01a6f8f7d931b3","version":1,"value":"[[\"- 독창적인 마케팅 캠페인을 통해 라면맛의 매력을 강조하고 소비자 호기심을 자극.\\n- 제품의 효능과 품질을 입증할 수 있는 연구 결과 및 소비자 리뷰를 적극 활용하여 신뢰 구축.\\n- 10대 소비자층의 건강 관심을 반영한 맞춤형 콘텐츠 및 교육 프로그램 제공.\\n- 특허를 활용하여 경쟁자 진입을 방어하고 독점적 시장 지위를 강화.\\n- 가격 경쟁력을 높이기 위한 다양한 프로모션 및 할인 전략 도입.\"]]"}</t>
  </si>
  <si>
    <t>{"hash":"1341ce456434df8b413bdbfd6d1d77c6173d3f93f78a2c2884e4423cb8d7ccd0","version":1,"value":"[[\"- 제품의 차별화된 효능과 성분을 강조하는 마케팅 전략 개발\\n- 소비자 신뢰를 높이기 위한 임상 시험 결과 및 인증 확보\\n- 다양한 맛 옵션을 제공하여 소비자 선택 폭 확대\\n- 가격 경쟁력을 높이기 위한 생산 비용 절감 및 프로모션 전략\\n- 특허 및 지적 재산권 보호를 위한 법적 조치 강화\\n- 건강 트렌드 변화에 대응하는 제품 라인업 확장 및 혁신\"]]"}</t>
  </si>
  <si>
    <t>{"hash":"3ebc3ed90ca6c17f35ce54240adf4220aa81e9258ef1cc98d1273b805e0dd527","version":1,"value":"[[\"- 특허를 활용하여 독점적 시장 지위를 강화하고 경쟁 제품의 출현을 방지.\\n- 차별화된 맛과 기능성을 강조한 마케팅 전략으로 소비자 인식 개선.\\n- 10대 타겟팅을 통해 새로운 시장을 개척하고 브랜드 충성도를 구축.\\n- 소비자 교육 및 홍보를 통해 건강기능식품에 대한 신뢰를 증대.\\n- 시장 트렌드와 소비자 선호도 변화를 지속적으로 모니터링하여 제품 개선 및 혁신 추진.\"]]"}</t>
  </si>
  <si>
    <t>GPT_TRANSLATE</t>
    <phoneticPr fontId="3" type="noConversion"/>
  </si>
  <si>
    <t>GPT_CLASSIFY</t>
    <phoneticPr fontId="3" type="noConversion"/>
  </si>
  <si>
    <t>GPT_EXTRACT</t>
    <phoneticPr fontId="3" type="noConversion"/>
  </si>
  <si>
    <t>GPT</t>
    <phoneticPr fontId="3" type="noConversion"/>
  </si>
  <si>
    <t>함수명</t>
    <phoneticPr fontId="3" type="noConversion"/>
  </si>
  <si>
    <t>GPT_WEB</t>
    <phoneticPr fontId="3" type="noConversion"/>
  </si>
  <si>
    <t>GPT_MATCH</t>
    <phoneticPr fontId="3" type="noConversion"/>
  </si>
  <si>
    <t>GPT_FILL</t>
    <phoneticPr fontId="3" type="noConversion"/>
  </si>
  <si>
    <t>사용처</t>
    <phoneticPr fontId="3" type="noConversion"/>
  </si>
  <si>
    <t>함수예제</t>
    <phoneticPr fontId="3" type="noConversion"/>
  </si>
  <si>
    <t>Aurora  Innovation</t>
    <phoneticPr fontId="3" type="noConversion"/>
  </si>
  <si>
    <t>GPT_LIST</t>
    <phoneticPr fontId="3" type="noConversion"/>
  </si>
  <si>
    <t>NVIDIA의 GPU종류</t>
    <phoneticPr fontId="3" type="noConversion"/>
  </si>
  <si>
    <t>{"hash":"4c3b743c3c30933340f8450ccf2d2b8bea90fc557e2c9a994c60813d279f7b15","version":1,"value":"[[\"GeForce RTX 4090\"],[\"GeForce RTX 4080\"],[\"GeForce RTX 4070\"],[\"GeForce RTX 4060\"],[\"GeForce RTX 3090\"],[\"GeForce RTX 3080\"],[\"GeForce RTX 3070\"],[\"GeForce RTX 3060\"],[\"GeForce GTX 1660\"],[\"GeForce GTX 1650\"]]"}</t>
  </si>
  <si>
    <t>{"hash":"61714a119636c96580bfd71cbf2b9ad2599e1c9d93c99f3dead23fb1acec6f90","version":1,"value":"[[\"GeForce RTX 4090\"],[\"GeForce RTX 4080\"],[\"GeForce RTX 4070 Ti\"],[\"GeForce RTX 4060\"],[\"GeForce RTX 3090\"],[\"GeForce RTX 3080\"],[\"GeForce RTX 3070\"],[\"GeForce RTX 3060\"],[\"GeForce GTX 1660 Ti\"],[\"GeForce GTX 1650\"]]"}</t>
  </si>
  <si>
    <t>{"hash":"a5f1cb9d9abbb665b98b2f6d7085b7aec467f6489a5f7c8de707810069e83340","version":1,"value":"[[\"번호\",\"GPU 종류\"],[\"1\",\"GeForce RTX 4090\"],[\"2\",\"GeForce RTX 4080\"],[\"3\",\"GeForce RTX 4070\"],[\"4\",\"GeForce RTX 4060\"],[\"5\",\"GeForce RTX 3090\"],[\"6\",\"GeForce RTX 3080\"],[\"7\",\"GeForce RTX 3070\"],[\"8\",\"GeForce RTX 3060\"],[\"9\",\"GeForce GTX 1660 Ti\"],[\"10\",\"GeForce GTX 1650\"]]"}</t>
  </si>
  <si>
    <t>GPT_TABLE</t>
    <phoneticPr fontId="3" type="noConversion"/>
  </si>
  <si>
    <t>삼국지 대표적인 등장인물 10명</t>
    <phoneticPr fontId="3" type="noConversion"/>
  </si>
  <si>
    <t>{"hash":"8748ab844148ebfebd7d1586782924d5428f03a602474129823e1b5f3ad1f2eb","version":1,"value":"[[\"유비\"],[\"관우\"],[\"장비\"],[\"조조\"],[\"손권\"],[\"제갈량\"],[\"주유\"],[\"여포\"],[\"동탁\"],[\"조운\"]]"}</t>
  </si>
  <si>
    <t>등장인물10명</t>
    <phoneticPr fontId="3" type="noConversion"/>
  </si>
  <si>
    <t>설명</t>
    <phoneticPr fontId="3" type="noConversion"/>
  </si>
  <si>
    <t>{"hash":"46fe9f9bae383f45f0cbfa2a4aa11a6abed5be38caec5de21300ea6aee0fb283","version":1,"value":"[[\"유비는 촉한의 초대 황제로, 161년에 태어나 223년에 사망했습니다. 그는 어린 시절부터 어려운 환경에서 성장했으며, 관우와 장비와 함께 의형제를 맺었습니다. 유비는 뛰어난 관계 능력과 의지력으로 인재를 끌어모아 촉한을 세웠습니다. 그는 여러 차례 패배했지만 절망하지 않고 다시 일어섰습니다.\"]]"}</t>
  </si>
  <si>
    <t>{"hash":"b40402b6ac95e339e27d3b87936710a9af4d79ccabda8cbee8bfab20b1680b3f","version":1,"value":"[[\"조운은 두 가지 인물이 있습니다. \\n\\n1. **조운 (한국)**: 전라남도 영광에서 태어난 독립운동가로, 삼일만세운동에 참여하고 만주로 망명한 후 귀국하여 문학 활동과 지역 문화 운동을 했다.\\n\\n2. **조운 (중국)**: 후한 말기 촉한의 무장으로, 유비를 따라 여러 전투에서 활약하며 충의와 지조로 유명하다.\"]]"}</t>
  </si>
  <si>
    <t>{"hash":"40517154d979ce8cf6107c0b66157df22ede70b4ee0d1df867f2275114017d68","version":1,"value":"[[\"장비는 삼국지의 주요 인물로, 유비의 의형제이자 촉나라의 명장입니다. 그는 용맹함과 지략을 겸비한 인물로, 특히 전투에서 계책을 잘 활용하여 승리를 이끌었습니다. 장판교와 한중전투에서의 활약이 유명하며, 관우와는 달리 지략가로서의 면모가 두드러집니다. 장비는 또한 강한 성격과 용맹함으로 유명하지만, 때때로 성격의 단점으로 인해 어려움을 겪기도 했습니다.\"]]"}</t>
  </si>
  <si>
    <t>{"hash":"51c74ce80eba60d4372090829ceb86bb82a94783b7f2ffb2238e003b4167675e","version":1,"value":"[[\"여포(呂布)는 중국 후한 말의 군웅으로, 자는 봉선(奉先)이며 병주 오원군 구원현 출신입니다. 그는 뛰어난 무예와 용맹으로 명성을 얻었으며, 동탁의 양아들이었으나 왕윤과 공모하여 동탁을 죽이고 정권을 잡았다가 패망했습니다. 이후 각지를 방랑하다 조조에게 패해 교수형에 처해졌습니다. 여포는 용맹했으나 지략이 부족하고 성격이 불안정하여 여러 번 배신을 저질렀습니다.\"]]"}</t>
  </si>
  <si>
    <t>{"hash":"8c5dc927b4146cb653f9bbdd54d3f33cffd9eb58163f7a019f711595474d9ce9","version":1,"value":"[[\"동탁(董卓, 139년 ~ 192년)은 중국 후한 말기의 군웅이자 정치인으로, 자는 중영(仲穎)이며, 농서군 임조현 출신입니다. 그는 정치적 혼란을 틈타 정권을 잡고 소제를 폐위하며 폭정을 펼쳤습니다. 잔인하고 탐욕스러운 성격으로 유명하며, 결국 여포의 배신으로 사망했습니다. 그의 죽음은 삼국지의 시작을 알리는 중요한 사건으로 평가받습니다.\"]]"}</t>
  </si>
  <si>
    <t>{"hash":"22b94365419b4d9f65f131c56db4dd36e40a192a0bfa96c3638357c28c4a2eb5","version":1,"value":"[[\"관우(關羽)는 중국 삼국시대의 촉한 무장으로, 자는 운장(雲長)이며 하동군 해현 출신입니다. 그는 유비와 장비와 함께 의형제를 맺고 촉한 건국에 큰 공헌을 했습니다. 충성심과 의리, 강직한 성품으로 유명하며, 동아시아에서 가장 잘 알려진 장수로 손꼽힙니다. 그는 적토마를 타고 청룡언월도를 휘두르는 용맹한 장수로 묘사됩니다. 관우는 219년 맥성에서 전사했습니다.\"]]"}</t>
  </si>
  <si>
    <t>{"hash":"48940bcc432bb2b3c4c6c6aacb4d96032abf0191e64fcb3c7bab9c9775dd673e","version":1,"value":"[[\"조조(曹操)는 중국 후한 말기의 정치가이자 위나라의 건국자로, 패국 초현에서 태어났습니다. 그의 자는 맹덕(孟德)이며, 어릴 때 이름은 아만(阿瞞)입니다. 조조는 신상학과 유가 사상을 공부하며 성장했으며, 정치, 행정, 군사, 예술 등 다양한 분야에서 뛰어난 능력을 발휘했습니다. 그는 북방민족 정벌과 과감한 개혁을 통해 위나라의 기틀을 마련했으며, 냉혹하지만 융통성 있는 리더십으로 평가받습니다. 조조는 220년 낙양에서 사망했으며, 아들 조비에 의해 위왕조의 태조 무황제로 추존되었습니다.\"]]"}</t>
  </si>
  <si>
    <t>{"hash":"d844d7c4cf57a9a2590fee7ad1e4908f94c2d076dff3b280e1359726a29ef9d5","version":1,"value":"[[\"손권(182년 ~ 252년)은 중국 삼국시대의 동오를 건국한 초대 황제로, 자는 중모입니다. 그는 강동의 맹주로 조조와 유비의 침공을 방어하며 삼국 정립에 기여했습니다. 229년 스스로 황제로 즉위하여 동오를 건국하였고, 수성의 명수로 평가받습니다. 손권은 명랑하고 도량이 넓으며, 깊은 생각과 결단력을 가진 인물로 알려져 있습니다. 그는 형 손책의 죽음 이후 강동을 다스렸으며, 여러 신하들과의 관계에서 정치적 판단력을 발휘했습니다. 손권은 69세까지 장수하며 오나라의 기틀을 다졌습니다.\"]]"}</t>
  </si>
  <si>
    <t>{"hash":"7ffe35eb729b8dcca45afc226b67d68ca43b1cf3c8111a73f105a73b534363e5","version":1,"value":"[[\"제갈량(181년 ~ 234년)은 중국 삼국시대의 촉한의 재상이자 정치인으로, 자는 공명이며 와룡, 복룡이라는 별호로도 알려져 있습니다. 그는 유비를 도와 촉한을 건국하고, 북벌을 통해 위나라와의 전쟁을 지휘했습니다. 그의 정치적 능력과 충성심은 후대에 많은 추앙을 받았습니다. 제갈량은 경제와 행정 분야에서도 뛰어난 능력을 발휘하며 촉한의 발전을 이끌었습니다. 그의 출사표는 역사적으로 유명하며, 그는 중국 역사상 가장 위대한 전략가 중 한 명으로 평가받고 있습니다.\"]]"}</t>
  </si>
  <si>
    <t>{"hash":"e40401c53130587daf8d5d1c35369315218df98341989574bc90be009917a5a0","version":1,"value":"[[\"주유는 삼국시대의 오나라의 명장으로, 손책의 창업공신이자 최고의 충신이었다. 그는 학문이 깊고, 병법에 정통하며, 음률에 일가견이 있는 인물로 평가받았다. 주유는 외모가 뛰어나고 용모가 아름다웠으며, 거문고 연주에 능했다. 그는 손책과 협력해 여러 전투에서 승리했으며, 손권을 보좌하며 강동을 지켰다. 주유는 비범한 기개와 넓은 흉금을 지닌 고상한 인물로, 36세의 젊은 나이에 사망했다.\"]]"}</t>
  </si>
  <si>
    <t>{"hash":"eda65e691829ebd706f82493adeeeb212ebe7cad0f54756be63b589b8aa284e3","version":1,"value":"[[\"조운은 일제강점기 시인으로, 1900년 전라남도 영광에서 태어났습니다. 1919년 삼일만세운동에 참여하여 독립운동을 시작했으며, 이후 망명 후 귀국하여 문학 활동을 시작했습니다. 주요 작품으로는 「불살라 주오」와 「초승달이 재넘을 때」가 있습니다. 1922년 자유예원과 추인회를 창립하며 지역 문화운동에 기여했습니다. \\n\\n또 다른 조운은 삼국지의 인물로, 상산 출신의 충의 있는 장수로 유명합니다. 유비의 신뢰를 받은 조운은 여러 전투에서 용맹을 떨쳤습니다. \\n\\n이 두 인물은 각각 다른 역사적 맥락에서 조운이라는 이름을 공유하고 있습니다.\"]]"}</t>
  </si>
  <si>
    <t>{"hash":"62541c076bc3f22f7bd3be02bfc8ef257ffe82e9f2a3cc1355b85a438d946caf","version":1,"value":"[[\"유비는 촉한의 초대 황제로, 161년 출생하여 223년 사망했습니다. 그는 전한 경제의 후손으로, 한을 부활시키려 했으며, 촉 지역에 기반을 둔 촉한을 세웠습니다. 유비는 어린 시절부터 어려운 환경에서 성장했으며, 관우와 장비와 함께 의형제를 맺었습니다. 그는 인재 등용에 뛰어난 안목을 가지고 있었으며, 특히 제갈량을 얻는 데 큰 노력을 기울였습니다. 유비는 관계 능력과 의지력이 뛰어났으며, 여러 번의 실패에도 불구하고 포기하지 않고 끝까지 도전했습니다. 그의 삶은 삼국지에서 중요한 역할을 하며, 후대에 큰 영향을 미쳤습니다.\"]]"}</t>
  </si>
  <si>
    <t>{"hash":"f4cf39ddfd5fc655c04e0bd4bd812d4923986cfcdeb04f2d5fe6e61d085597b4","version":1,"value":"[[\"관우(關羽)는 중국 후한 말의 무장으로, 자는 운장(雲長)입니다. 그는 유비와 장비와 함께 의형제를 맺고 촉한 건국에 큰 공헌을 했습니다. 충성심과 의리로 유명하며, 동아시아 문화권에서 가장 잘 알려진 인물 중 하나입니다. 관우는 용맹한 전사로 평가받으며, 특히 안량을 무찌른 전투가 유명합니다. 그는 219년에 손권의 군대에 의해 사로잡혀 참수되었습니다.\"]]"}</t>
  </si>
  <si>
    <t>{"hash":"0aac5d80efab219f9068cebed87d5334054957b2fdef39c9e36591174406ba0a","version":1,"value":"[[\"조조(曹操)는 중국 후한 말기의 관료이자 위나라의 건국자로, 패국 초현에서 태어났습니다. 그의 자는 맹덕이며, 어릴 때 이름은 아만입니다. 조조는 황건적 진압과 군벌 간의 전투에서 두각을 나타내며 위나라를 세웠습니다. 그는 정사에서는 뛰어난 인물로 평가받지만, 소설 '삼국지연의'에서는 악행을 대표하는 인물로 묘사됩니다.\"]]"}</t>
  </si>
  <si>
    <t>{"hash":"d20a8428c243a6cef76fdef6f6a00516f7a5b2716f7fe24405a16c73d34e16c9","version":1,"value":"[[\"손권(182-252)은 삼국지의 주요 인물로, 오나라의 창업자 손견과 손책의 뒤를 이어 오나라의 수장이 되었다. 그는 인재를 등용하고 신뢰하는 능력으로 유명하며, 적벽대전과 이릉 전투에서 조조와 유비를 격파하여 오나라의 안정을 유지했다. 그러나 말년에는 의심이 많아지며 독단적으로 행동했다. 229년에 황제로 등극하여 오나라를 세웠다.\"]]"}</t>
  </si>
  <si>
    <t>{"hash":"e630aa057c91ccfbad75fbb9599897fa023812326d2cb80669b6e2daab3c0725","version":1,"value":"[[\"주유는 삼국지의 오나라 장수 중 하나로, 뛰어난 외모와 음악적 재능을 가졌습니다. 그는 손책과 손권에게 충성심을 보이며 여러 전투에서 공을 세웠습니다. 특히 적벽 대전에서 조조군을 격파하는 데 중요한 역할을 했습니다. 실제 역사에서는 제갈량과의 대립보다는 오나라의 세력 강화에 집중한 인물로 평가됩니다.\"]]"}</t>
  </si>
  <si>
    <t>{"hash":"e10947b091cd57905de168634c6a50c1eae87a3d20f2f71c5c14d591641fc513","version":1,"value":"[[\"제갈량(181년 ~ 234년)은 중국 삼국시대의 촉한의 재상으로, 자는 공명이며 별호는 와룡 또는 복룡입니다. 그는 유비를 도와 촉한을 건국하고, 북벌을 통해 위나라와의 전쟁을 지속했습니다. 정치와 행정에서 뛰어난 능력을 발휘했으며, 그의 출사표는 역사적으로 유명합니다. 제갈량은 법가와 유학을 결합한 정치관을 가지고 있었고, 촉한의 경제 성장을 이끌었습니다.\"]]"}</t>
  </si>
  <si>
    <t>{"hash":"4d54bc6910b677eb8a8c514d63627621b8dc1f75eb05fbbe76b00f15b3b8713a","version":1,"value":"[[\"여포는 **병주** 출신으로, 후한 말기의 뛰어난 무장입니다. 그는 **동탁**의 부하로 시작하여 이후 여러 주군을 거치며 명성을 떨쳤습니다. **적토**라는 명마를 타고 다니며 \\\"사람 중엔 여포가 있고, 말에는 적토가 있다\\\"라는 말이 있을 정도로 유명했습니다. 그러나 리더십과 신뢰성은 부족했으며, 결국 **하비 전투**에서 패배하여 처형되었습니다. 주요 부하로는 **장료**, **진궁**, **고순** 등이 있습니다.\"]]"}</t>
  </si>
  <si>
    <t>{"hash":"48c2e9241183283ef6532fa98970198e40fe480b10fbc90319d68804efa7acda","version":1,"value":"[[\"동탁(董卓)은 중국 후한 말기의 군웅이자 정치가로, 자는 중영(仲穎)이며, 농서 임조현 출신입니다. 그는 정치적 혼란을 틈타 정권을 장악하고 폭정을 펼쳤으며, 소제를 폐위하고 유협을 헌제로 즉위시켰습니다. 그의 폭정은 결국 왕윤과 여포의 배신으로 끝났습니다. 동탁은 중국사에서 대표적인 악인으로 회자됩니다.\"]]"}</t>
  </si>
  <si>
    <t>{"hash":"bc1402cf5977ea6e9147093fcdd492acac10c9430a2fe2548ab3d9cbc7eb6d9c","version":1,"value":"[[\"조운(趙雲)은 중국 후한 말기와 삼국 시대 촉한의 무장으로, 자는 자룡(子龍)입니다. 그는 기주 상산군 진정현 출신으로, 원소와 공손찬 휘하에서 시작하여 유비를 따라 제업에 공헌했습니다. 특히 장판 전투에서 유비의 아들과 아내를 구출한 일화가 유명합니다. 조운은 충성과 용맹함으로 평가받으며, 지혜와 통찰력도 뛰어났습니다.\"]]"}</t>
  </si>
  <si>
    <t>{"hash":"a83d60a4412fcea49c4844410975934f640c0c3e8557fae406c835a7af62d182","version":1,"value":"[[\"장비는 중국 후한 말기와 촉한 초기의 군인으로, 유비와 관우와 함께 삼국지의 주요 인물 중 하나입니다. 그의 이름은 **장페이**(張飛), 자는 **익덕**(益德)이며, 유주 탁군 출신입니다. 장비는 용맹함과 충성심으로 유명하며, 특히 **관우**와 함께 \\\"만인지적\\\"으로 불리며, 당시의 강력한 장수 중 하나로 평가받았습니다.\\n\\n### 주요 활약\\n\\n- **장판교 전투**: 조조군을 상대로 다리 위에서 홀로 버티며 조조군을 퇴각시켰습니다.\\n- **한중 전투**: 장합의 군대를 격파하고 승리하였습니다.\\n- **익주 정벌**: 엄안을 계략으로 사로잡아 성도로의 진군을 빠르게 진행시켰습니다.\\n\\n### 인물상\\n\\n장비는 **삼국지연의**에서 무식한 인물로 묘사되기도 하지만, 실제로는 지모도 갖춘 인물로 평가받습니다. 그는 여러 전투에서 계략을 사용해 승리하며, 유비의 주요 전투에서 결정적인 역할을 했습니다. 또한, 방통의 뛰어난 능력을 알아보고 유비에게 천거하기도 했습니다. \\n\\n### 평가\\n\\n진수는 장비를 \\\"관우에 버금가는 용맹\\\"을 가진 인물로 평가하며, 당시의 강력한 장수로 인정받았습니다. 장비는 촉나라의 주요 장수로서, 그의 용맹과 충성은 후세에도 큰 영향을 미쳤습니다.\"]]"}</t>
  </si>
  <si>
    <t>{"hash":"620e767d0225f354fd51537c065ebcae6302c2d2dc7db49f4d1749df8bd373e2","version":1,"value":"[[\"GeForce RTX 4090은 NVIDIA의 최신 그래픽 카드로, 다음과 같은 기능을 제공합니다:\\n\\n- **CUDA 코어 수**: 16,384개로, 이전 RTX 3090의 두 배 이상입니다.\\n- **클럭 속도**: 부스트 클럭 2.61GHz, 베이스 클럭 2.31GHz.\\n- **메모리**: 24GB GDDR6X.\\n- **FP32 연산 능력**: 82.58 TFLOPS.\\n- **레이 트레이싱**: 3세대 RT 코어로, 광원 효과를 더 효율적으로 처리합니다.\\n- **DLSS 3**: AI 기반 업스케일링 기술로 프레임 수를 크게 증가시킵니다.\\n- **AV1 인코더**: 8세대 듀얼 AV1 인코더로, 동영상 제작 시간을 줄입니다.\\n- **전력 소비**: 최대 450W.\"]]"}</t>
  </si>
  <si>
    <t>{"hash":"02d746edb535869791a6ce9bfc88217f9c7accfeb2ea82046bac9a8f095b223c","version":1,"value":"[[\"GeForce RTX 4080은 NVIDIA의 최신 그래픽 카드로, **Ada Lovelace 아키텍처**를 기반으로 합니다. 주요 기능으로는 **DLSS 3**와 **3세대 RT 코어**가 있으며, 이는 AI 기반의 성능 향상과 레이 트레이싱 기술을 통해 고사양 게임에서 높은 프레임과 세밀한 그래픽을 제공합니다. **16GB GDDR6X 메모리**와 **320W 소비 전력**을 특징으로 하며, **4세대 Tensor 코어**를 통해 AI 업 스케일링 기능을 강화했습니다. AV1 인코더도 포함되어 있어 동영상 편집 기능도 향상되었습니다.\"]]"}</t>
  </si>
  <si>
    <t>{"hash":"87f2721079c569a3d148fcdf13165380a051ee9a76a606f9074b784024f84d13","version":1,"value":"[[\"GeForce RTX 4070은 NVIDIA의 Ada Lovelace 아키텍처를 기반으로 하며, **DLSS 3**를 지원하여 AI 기반 프레임 생성을 통해 성능을 향상시킵니다. **레이 트레이싱** 기능도 강화되어 몰입감 있는 그래픽을 제공합니다. 1440p 해상도에서 최신 게임을 초당 100프레임 이상으로 실행할 수 있으며, 전력 소비는 줄어들었습니다. 또한, **AV1 코덱**을 지원하는 8세대 NVENC 인코더를 통해 영상 편집 및 스트리밍 효율성을 높입니다.\"]]"}</t>
  </si>
  <si>
    <t>{"hash":"416324cf00cb8f1787786d37030743bc1086b77b39170562a17e31d49a6f81de","version":1,"value":"[[\"지포스 RTX 4060은 **NVIDIA Ada Lovelace 아키텍처**를 기반으로 하며, **DLSS 3.0**과 **레이 트레이싱**을 지원하여 고화질 그래픽을 제공합니다. 이 카드는 **24MB의 L2 캐시**와 **8GB의 GDDR6 메모리**를 갖추고 있으며, **전력 효율성**이 뛰어납니다. 또한, **엔비디아 리플렉스**와 **AV1 인코딩** 기능도 포함되어 있습니다. 가격은 299달러부터 시작합니다.\"]]"}</t>
  </si>
  <si>
    <t>{"hash":"68d6b10b14fa7d498a77a4c14b20a48f808968752eb104ff9b7d848a3b22473d","version":1,"value":"[[\"GeForce RTX 3090은 NVIDIA의 Ampere 아키텍처를 기반으로 하며, 다음과 같은 주요 기능을 제공합니다:\\n\\n- **3세대 Tensor 코어**: AI 기반 렌더링과 딥 러닝 성능 향상.\\n- **2세대 RT 코어**: 실시간 레이 트레이싱 기술로 극사실적인 그래픽 제공.\\n- **24GB GDDR6X 메모리**: 대용량 메모리로 고해상도 게임과 콘텐츠 제작에 적합.\\n- **NVIDIA DLSS**: AI를 활용한 초고해상도 렌더링 기술로 프레임 레이트 향상.\\n- **8K 해상도 지원**: 8K HDR 출력 가능하여 초고해상도 게이밍 경험 제공.\\n- **PCI Express Gen 4**: 최신 인터페이스를 통해 빠른 데이터 전송 지원.\"]]"}</t>
  </si>
  <si>
    <t>{"hash":"699fd68517ba0f52df9386fbbcc8574748168145b9a85a39c764b92b6943ae96","version":1,"value":"[[\"GeForce RTX 3080은 NVIDIA의 Ampere 아키텍처를 기반으로 하며, 다음과 같은 주요 기능을 제공합니다:\\n\\n- **2세대 RT 코어**: 레이 트레이싱 성능을 2배 향상시켜 더 사실적인 그래픽을 제공합니다.\\n- **3세대 Tensor 코어**: AI 성능을 2배 향상시켜 DLSS와 같은 고급 AI 알고리즘을 지원합니다.\\n- **NVIDIA DLSS**: AI를 활용해 프레임 속도를 높이는 기술로, 게임의 성능과 품질을 동시에 향상시킵니다.\\n- **NVIDIA Reflex**: 시스템 지연 시간을 줄여 반응성을 높이는 기술로, 경쟁 게임에 최적화되어 있습니다.\\n- **쿨링 시스템**: 다양한 팬 디자인과 히트 파이프 기술을 통해 효율적인 냉각을 제공합니다.\"]]"}</t>
  </si>
  <si>
    <t>{"hash":"029024d8b906cacf1cedd4cb610de30fc44c71422f152de4785a83dc4a7bf329","version":1,"value":"[[\"GeForce RTX 3070은 NVIDIA의 암페어 아키텍처를 기반으로 하며, 2세대 RT 코어와 3세대 텐서 코어를 탑재하여 실시간 레이 트레이싱과 AI 기반 DLSS 기능을 제공합니다. 이 그래픽 카드는 8GB GDDR6 메모리와 256비트 버스를 갖추고 있으며, 다양한 모델에 따라 클럭 속도가 다릅니다. 예를 들어, Gigabyte의 EAGLE OC 모델은 1770 MHz의 코어 클럭을 제공합니다. RTX 3070은 1440p 및 4K 해상도에서 뛰어난 성능을 발휘하며, NVIDIA Reflex와 같은 기술로 경쟁적 게임에서 반응성을 높일 수 있습니다.\"]]"}</t>
  </si>
  <si>
    <t>{"hash":"5d5ae410695eab21c140b3aab6c55bea2971b1bfd32c279b87d467549ca0f5de","version":1,"value":"[[\"GeForce GTX 1660 Ti는 12세대 튜링 아키텍처를 기반으로 하며, 1,536 CUDA 코어, 6GB GDDR6 메모리, 최대 1.8GHz 부스트 클럭을 제공합니다. 이 GPU는 120W의 전력 소모로 동급 중 최고의 와트 당 성능을 제공하며, 1080p에서 120fps로 게임을 실행할 수 있습니다. 또한, GeForce Experience 기능을 통해 게임 내 순간을 녹화하고, 스크린샷을 찍으며, 게임 화면을 꾸밀 수 있는 기능을 포함하고 있습니다.\"]]"}</t>
  </si>
  <si>
    <t>{"hash":"d99b2f92e5a39455025d53fdd54f18e04ab275b373b5781f33ed7ae46527aeff","version":1,"value":"[[\"**GeForce RTX 3060 주요 기능:**\\n\\n- **암페어 아키텍처**: 성능 향상\\n- **레이 트레이싱**: GTX 1060 대비 최대 10배 성능 향상\\n- **엔비디아 DLSS**: AI 기반 프레임률 향상\\n- **엔비디아 리플렉스**: 시스템 지연 시간 줄임\\n- **엔비디아 브로드캐스트**: AI 기반 오디오 및 비디오 개선\\n- **Resizable BAR**: 게임 성능 향상\\n- **메모리**: 12GB GDDR6, 192비트 메모리 인터페이스\\n- **성능**: 풀HD 해상도에서 초당 90프레임 이상 처리 가능.\"]]"}</t>
  </si>
  <si>
    <t>{"hash":"1467b4d66b402763ce1776c1b98edb44b4d925553aad2a993b2023157d4a351b","version":1,"value":"[[\"GeForce GTX 1650은 NVIDIA의 Turing 아키텍처를 기반으로 하는 중급 그래픽 카드입니다. 주요 기능은 다음과 같습니다:\\n\\n- **CUDA 코어**: 896개\\n- **클럭 속도**: 기본 1485 MHz, 부스트 최대 1665 MHz\\n- **메모리**: 4GB GDDR5, 128비트 메모리 인터페이스\\n- **TDP**: 약 75와트\\n- **출력 옵션**: DisplayPort 1.4, HDMI 2.0b, DVI-D\\n- **레이 트레이싱 및 DLSS 지원**: 없음\\n- **폼 팩터**: 일부 모델은 싱글 슬롯 디자인으로 SFF PC에 적합\\n\\n이 카드는 주로 1080p 해상도에서 게임을 즐기기에 적합합니다.\"]]"}</t>
  </si>
  <si>
    <t>{"hash":"f69bb720de3f750a96685166579778940dfadb00ab02034c85643733b5397533","version":1,"value":"[[\"NVIDIA GeForce RTX 4090: 16,384 CUDA 코어, 512 텐서 코어, 24GB GDDR6X 메모리, 고성능 AI 및 게임 성능 제공.\"]]"}</t>
  </si>
  <si>
    <t>{"hash":"a6a78bfa3a3831282ba1e37e36363b60f69aa7138982e61db25f33f24c07d6be","version":1,"value":"[[\"GeForce RTX 4060은 24MB L2 캐시와 8GB GDDR6를 갖추고 있으며, DLSS 3와 3세대 레이 트레이싱 기술을 지원합니다. 이는 AI 기반 성능 향상과 높은 프레임률을 제공합니다.\"]]"}</t>
  </si>
  <si>
    <t>{"hash":"67f25be5fef17a603ff522a5cf29766fdc48ac53360b1b6f8c1675047fef21cd","version":1,"value":"[[\"GeForce RTX 4070은 Ada Lovelace 아키텍처 기반으로 DLSS 3, 실시간 레이 트레이싱, 1440p 해상도에서 100프레임 이상 지원하며, AI 가속 및 전력 효율성을 제공합니다.\"]]"}</t>
  </si>
  <si>
    <t>{"hash":"0e04e584c0a07c87d2a97bced7fe36b9a9d8e4102902c8c21ef16fad72b20962","version":1,"value":"[[\"GeForce RTX 3080은 2세대 RT 코어와 3세대 Tensor 코어를 탑재하여 레이 트레이싱과 AI 성능을 강화합니다. NVIDIA DLSS 기술로 프레임 속도를 높이며, 고성능 게임과 크리에이티브 작업에 최적화되어 있습니다.\"]]"}</t>
  </si>
  <si>
    <t>{"hash":"d031f2bcc250d81c260cd5440f77fb9f8bb1cfad6fb3216583b97828bc8197c9","version":1,"value":"[[\"GeForce RTX 4080: Ada Lovelace 아키텍처, DLSS 3, 3세대 RT 코어, 4세대 Tensor 코어, 16GB GDDR6X 메모리.\"]]"}</t>
  </si>
  <si>
    <t>{"hash":"928fac7007a697daf960c5798ca45c0e054b824fee9ac55c6175fe10d2555023","version":1,"value":"[[\"지포스 RTX 3060은 암페어 아키텍처 기반으로 레이 트레이싱 성능이 GTX 1060보다 10배 향상되며, DLSS, 리플렉스, 브로드캐스트 기술을 지원합니다. 12GB GDDR6 메모리와 리사이저블 BAR 기능을 제공합니다.\"]]"}</t>
  </si>
  <si>
    <t>{"hash":"a5b3f59680f1549712d1f6cf7d0826435b7c1c7806c675316c7aa99e3bbfd90d","version":1,"value":"[[\"GeForce GTX 1660 Ti는 NVIDIA Turing 아키텍처를 기반으로 하며, 1,536 CUDA 코어와 6GB GDDR6 메모리를 갖추고 있습니다. 1080p에서 120fps로 게임을 실행할 수 있으며, GeForce Experience 기능을 포함하고 있습니다.\"]]"}</t>
  </si>
  <si>
    <t>{"hash":"2cdcc32fa29d18a243be4f23e7f3ad86d4980027a8faf0aa485dfd3792c7f539","version":1,"value":"[[\"GeForce RTX 3070은 2세대 RT 코어, 3세대 텐서 코어, 8GB GDDR6 메모리를 탑재한 그래픽 카드로, 레이 트레이싱, AI 가속, 빠른 프레임 속도를 제공합니다.\"]]"}</t>
  </si>
  <si>
    <t>{"hash":"599209a0c747f379aed24050007a2360ff3bcf05f5641b5d8752410d422ea4f2","version":1,"value":"[[\"GeForce RTX 3090은 24GB GDDR6X 메모리, 2세대 RT 코어, 3세대 Tensor 코어를 갖추고 있어 레이 트레이싱, AI 기반 DLSS, 8K 해상도 지원을 제공합니다. NVIDIA Reflex와 G-SYNC 기술로 낮은 지연 시간과 높은 반응성을 제공합니다.\"]]"}</t>
  </si>
  <si>
    <t>{"hash":"be547d26d1219484da147d2e035b6edf19ac6909b87da146c5edeb0aaa1b064d","version":1,"value":"[[\"GeForce GTX 1650은 **NVIDIA Turing 아키텍처**를 기반으로 하며, **896개의 CUDA 코어**와 **4GB GDDR5/GDDR6 메모리**를 갖추고 있습니다. 이 카드는 **1080p 해상도**에서 적당한 성능을 제공하며, **레이 트레이싱 및 DLSS**는 지원하지 않습니다.\"]]"}</t>
  </si>
  <si>
    <t>SWOT분석</t>
    <phoneticPr fontId="3" type="noConversion"/>
  </si>
  <si>
    <t>=GPT($C$3&amp;$C$4&amp;"제품의 SWOT분석중"&amp;D$6&amp;"을 5줄로 불릿으로 요약")</t>
    <phoneticPr fontId="3" type="noConversion"/>
  </si>
  <si>
    <t>=GPT($C$3&amp;$C$4&amp;"제품의 SWOT분석중"&amp;E$6&amp;"을 5줄로 불릿으로 요약")</t>
    <phoneticPr fontId="3" type="noConversion"/>
  </si>
  <si>
    <t>=GPT($C$3&amp;$C$4&amp;"제품의 SWOT분석중"&amp;B$8&amp;"을 5줄로 불릿으로 요약")</t>
    <phoneticPr fontId="3" type="noConversion"/>
  </si>
  <si>
    <t>=GPT($C$3&amp;D$6&amp;"이"&amp;D$7&amp;"이고"&amp;$B8&amp;"가"&amp;$C8&amp;"일때 전략을 불릿기호로 5줄이상 요약해서")</t>
    <phoneticPr fontId="3" type="noConversion"/>
  </si>
  <si>
    <t>=GPT($C$3&amp;E$6&amp;"이"&amp;E$7&amp;"이고"&amp;$B8&amp;"가"&amp;$C8&amp;"일때 전략을 불릿기호로 5줄이상 요약해서")</t>
    <phoneticPr fontId="3" type="noConversion"/>
  </si>
  <si>
    <t>=GPT($C$3&amp;$C$4&amp;"제품의 SWOT분석중"&amp;B$9&amp;"을 5줄로 불릿으로 요약")</t>
    <phoneticPr fontId="3" type="noConversion"/>
  </si>
  <si>
    <t>=GPT($C$3&amp;D$6&amp;"이"&amp;D$7&amp;"이고"&amp;$B9&amp;"가"&amp;$C9&amp;"일때 전략을 불릿기호로 5줄이상 요약해서")</t>
    <phoneticPr fontId="3" type="noConversion"/>
  </si>
  <si>
    <t>=GPT($C$3&amp;E$6&amp;"이"&amp;E$7&amp;"이고"&amp;$B9&amp;"가"&amp;$C9&amp;"일때 전략을 불릿기호로 5줄이상 요약해서")</t>
    <phoneticPr fontId="3" type="noConversion"/>
  </si>
  <si>
    <t>M2. 데이터집계하기(2)</t>
  </si>
  <si>
    <t>M1. 엑셀 활용시 LLM의 도움을 받을 수 있는 방법</t>
  </si>
  <si>
    <t>M2. 데이터집계하기(!)</t>
  </si>
  <si>
    <t>M2. 데이터집계하기(3)</t>
  </si>
  <si>
    <t>M3. 데이터정제하기(1)</t>
  </si>
  <si>
    <t>M3. 데이터정제하기(2)</t>
  </si>
  <si>
    <t>M4. 데이터 변수파생</t>
  </si>
  <si>
    <t>M5. 템플릿만들기(1)</t>
  </si>
  <si>
    <t>M5. 템플릿만들기(2)</t>
  </si>
  <si>
    <t>M6. 피벗차트 만들기 튜토리얼(1)</t>
  </si>
  <si>
    <t>M6. 피벗차트 만들기 튜토리얼(2)</t>
  </si>
  <si>
    <t>M7. 테이블,차트 데이터분석</t>
  </si>
  <si>
    <t>M8. 코드없이 엑셀템플릿 제작</t>
  </si>
  <si>
    <t>M9. 엑셀VBA with ChatGPT</t>
  </si>
  <si>
    <t>M10. 엑셀 GPT추가기능 (1)</t>
  </si>
  <si>
    <t>M10. 엑셀 GPT추가기능(2)</t>
  </si>
  <si>
    <t>M10. 엑셀 GPT추가기능(3)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</si>
</sst>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quot;₩&quot;* #,##0_-;\-&quot;₩&quot;* #,##0_-;_-&quot;₩&quot;* &quot;-&quot;_-;_-@_-"/>
    <numFmt numFmtId="177" formatCode="_-* #,##0_-;\-* #,##0_-;_-* &quot;-&quot;_-;_-@_-"/>
    <numFmt numFmtId="178" formatCode="yyyy&quot;년&quot;\ m&quot;월&quot;\ d&quot;일&quot;;@"/>
    <numFmt numFmtId="179" formatCode="yyyy&quot;년&quot;\ mm&quot;월&quot;\ dd&quot;일&quot;;@"/>
    <numFmt numFmtId="180" formatCode="&quot;₩&quot;#,##0"/>
    <numFmt numFmtId="181" formatCode="[DBNum4][$-412]&quot;일&quot;&quot;금&quot;\ General\ &quot;원&quot;&quot;정&quot;"/>
    <numFmt numFmtId="182" formatCode="@&quot;貴&quot;&quot;下&quot;"/>
    <numFmt numFmtId="183" formatCode="_-* #,##0.0_-;\-* #,##0.0_-;_-* &quot;-&quot;_-;_-@_-"/>
  </numFmts>
  <fonts count="34">
    <font>
      <sz val="11"/>
      <name val="돋움"/>
      <family val="3"/>
      <charset val="129"/>
    </font>
    <font>
      <sz val="11"/>
      <name val="돋움"/>
      <family val="3"/>
      <charset val="129"/>
    </font>
    <font>
      <sz val="9"/>
      <name val="TTche"/>
      <family val="1"/>
      <charset val="129"/>
    </font>
    <font>
      <sz val="8"/>
      <name val="돋움"/>
      <family val="3"/>
      <charset val="129"/>
    </font>
    <font>
      <sz val="10"/>
      <color indexed="9"/>
      <name val="굴림"/>
      <family val="3"/>
      <charset val="129"/>
    </font>
    <font>
      <sz val="11"/>
      <name val="굴림"/>
      <family val="3"/>
      <charset val="129"/>
    </font>
    <font>
      <sz val="11"/>
      <name val="맑은 고딕"/>
      <family val="3"/>
      <charset val="129"/>
      <scheme val="minor"/>
    </font>
    <font>
      <sz val="20"/>
      <name val="맑은 고딕"/>
      <family val="3"/>
      <charset val="129"/>
      <scheme val="minor"/>
    </font>
    <font>
      <sz val="10"/>
      <name val="맑은 고딕"/>
      <family val="3"/>
      <charset val="129"/>
      <scheme val="minor"/>
    </font>
    <font>
      <sz val="12"/>
      <name val="맑은 고딕"/>
      <family val="3"/>
      <charset val="129"/>
      <scheme val="minor"/>
    </font>
    <font>
      <b/>
      <sz val="20"/>
      <name val="맑은 고딕"/>
      <family val="3"/>
      <charset val="129"/>
      <scheme val="major"/>
    </font>
    <font>
      <sz val="8"/>
      <name val="맑은 고딕"/>
      <family val="2"/>
      <charset val="129"/>
      <scheme val="minor"/>
    </font>
    <font>
      <sz val="10"/>
      <color rgb="FF333333"/>
      <name val="맑은 고딕"/>
      <family val="3"/>
      <charset val="129"/>
      <scheme val="minor"/>
    </font>
    <font>
      <sz val="10"/>
      <color theme="1"/>
      <name val="맑은 고딕"/>
      <family val="3"/>
      <charset val="129"/>
      <scheme val="minor"/>
    </font>
    <font>
      <b/>
      <sz val="10"/>
      <color theme="0"/>
      <name val="맑은 고딕"/>
      <family val="3"/>
      <charset val="129"/>
      <scheme val="minor"/>
    </font>
    <font>
      <b/>
      <sz val="15"/>
      <name val="맑은 고딕"/>
      <family val="3"/>
      <charset val="129"/>
      <scheme val="minor"/>
    </font>
    <font>
      <b/>
      <sz val="11"/>
      <color theme="0"/>
      <name val="맑은 고딕"/>
      <family val="3"/>
      <charset val="129"/>
      <scheme val="minor"/>
    </font>
    <font>
      <sz val="11"/>
      <color theme="1"/>
      <name val="맑은 고딕"/>
      <family val="2"/>
      <scheme val="minor"/>
    </font>
    <font>
      <b/>
      <sz val="10"/>
      <color theme="0"/>
      <name val="맑은 고딕"/>
      <family val="2"/>
      <scheme val="minor"/>
    </font>
    <font>
      <sz val="10"/>
      <name val="돋움"/>
      <family val="3"/>
      <charset val="129"/>
    </font>
    <font>
      <sz val="10"/>
      <color theme="1"/>
      <name val="맑은 고딕"/>
      <family val="2"/>
      <scheme val="minor"/>
    </font>
    <font>
      <b/>
      <sz val="11"/>
      <name val="돋움"/>
      <family val="3"/>
      <charset val="129"/>
    </font>
    <font>
      <sz val="10"/>
      <name val="Arial Unicode MS"/>
      <family val="2"/>
    </font>
    <font>
      <sz val="11"/>
      <name val="맑은 고딕"/>
      <family val="3"/>
      <charset val="129"/>
      <scheme val="major"/>
    </font>
    <font>
      <b/>
      <sz val="11"/>
      <color theme="0"/>
      <name val="맑은 고딕"/>
      <family val="3"/>
      <charset val="129"/>
      <scheme val="major"/>
    </font>
    <font>
      <sz val="10"/>
      <name val="맑은 고딕"/>
      <family val="3"/>
      <charset val="129"/>
      <scheme val="major"/>
    </font>
    <font>
      <b/>
      <sz val="11"/>
      <name val="맑은 고딕"/>
      <family val="3"/>
      <charset val="129"/>
      <scheme val="major"/>
    </font>
    <font>
      <b/>
      <sz val="11"/>
      <name val="맑은 고딕"/>
      <family val="3"/>
      <charset val="129"/>
      <scheme val="minor"/>
    </font>
    <font>
      <sz val="8"/>
      <color theme="0"/>
      <name val="돋움"/>
      <family val="3"/>
      <charset val="129"/>
    </font>
    <font>
      <sz val="11"/>
      <color theme="0"/>
      <name val="맑은 고딕"/>
      <family val="3"/>
      <charset val="129"/>
      <scheme val="major"/>
    </font>
    <font>
      <b/>
      <sz val="18"/>
      <name val="맑은 고딕"/>
      <family val="3"/>
      <charset val="129"/>
      <scheme val="minor"/>
    </font>
    <font>
      <u/>
      <sz val="11"/>
      <color theme="10"/>
      <name val="돋움"/>
      <family val="3"/>
      <charset val="129"/>
    </font>
    <font>
      <b/>
      <sz val="14"/>
      <name val="맑은 고딕"/>
      <family val="3"/>
      <charset val="129"/>
      <scheme val="minor"/>
    </font>
    <font>
      <u/>
      <sz val="11"/>
      <color theme="10"/>
      <name val="맑은 고딕"/>
      <family val="3"/>
      <charset val="129"/>
      <scheme val="minor"/>
    </font>
  </fonts>
  <fills count="9">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7" tint="0.79998168889431442"/>
        <bgColor indexed="64"/>
      </patternFill>
    </fill>
    <fill>
      <patternFill patternType="solid">
        <fgColor rgb="FFC00000"/>
        <bgColor indexed="64"/>
      </patternFill>
    </fill>
    <fill>
      <patternFill patternType="solid">
        <fgColor theme="0"/>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s>
  <cellStyleXfs count="8">
    <xf numFmtId="0" fontId="0" fillId="0" borderId="0">
      <alignment vertical="center"/>
    </xf>
    <xf numFmtId="177" fontId="1" fillId="0" borderId="0" applyFont="0" applyFill="0" applyBorder="0" applyAlignment="0" applyProtection="0">
      <alignment vertical="center"/>
    </xf>
    <xf numFmtId="176" fontId="1" fillId="0" borderId="0" applyFont="0" applyFill="0" applyBorder="0" applyAlignment="0" applyProtection="0">
      <alignment vertical="center"/>
    </xf>
    <xf numFmtId="0" fontId="1" fillId="0" borderId="0"/>
    <xf numFmtId="0" fontId="2" fillId="0" borderId="0">
      <alignment vertical="center"/>
    </xf>
    <xf numFmtId="9" fontId="1" fillId="0" borderId="0" applyFont="0" applyFill="0" applyBorder="0" applyAlignment="0" applyProtection="0">
      <alignment vertical="center"/>
    </xf>
    <xf numFmtId="0" fontId="17" fillId="0" borderId="0"/>
    <xf numFmtId="0" fontId="31" fillId="0" borderId="0" applyNumberFormat="0" applyFill="0" applyBorder="0" applyAlignment="0" applyProtection="0">
      <alignment vertical="center"/>
    </xf>
  </cellStyleXfs>
  <cellXfs count="168">
    <xf numFmtId="0" fontId="0" fillId="0" borderId="0" xfId="0">
      <alignment vertical="center"/>
    </xf>
    <xf numFmtId="0" fontId="4" fillId="0" borderId="0" xfId="4" applyFont="1">
      <alignment vertical="center"/>
    </xf>
    <xf numFmtId="0" fontId="5" fillId="0" borderId="0" xfId="3" applyFont="1"/>
    <xf numFmtId="0" fontId="5" fillId="0" borderId="0" xfId="3" applyFont="1" applyAlignment="1">
      <alignment vertical="center"/>
    </xf>
    <xf numFmtId="0" fontId="6" fillId="0" borderId="1" xfId="3" applyFont="1" applyBorder="1"/>
    <xf numFmtId="0" fontId="6" fillId="0" borderId="0" xfId="3" applyFont="1"/>
    <xf numFmtId="0" fontId="7" fillId="0" borderId="0" xfId="3" applyFont="1" applyAlignment="1">
      <alignment horizontal="center"/>
    </xf>
    <xf numFmtId="179" fontId="6" fillId="0" borderId="1" xfId="3" applyNumberFormat="1" applyFont="1" applyBorder="1" applyAlignment="1">
      <alignment horizontal="left" vertical="center"/>
    </xf>
    <xf numFmtId="178" fontId="6" fillId="0" borderId="0" xfId="3" applyNumberFormat="1" applyFont="1" applyAlignment="1">
      <alignment horizontal="left" indent="1"/>
    </xf>
    <xf numFmtId="0" fontId="8" fillId="0" borderId="3" xfId="3" applyFont="1" applyBorder="1" applyAlignment="1">
      <alignment horizontal="distributed" vertical="center"/>
    </xf>
    <xf numFmtId="0" fontId="6" fillId="0" borderId="6" xfId="3" applyFont="1" applyBorder="1" applyAlignment="1">
      <alignment horizontal="left" vertical="center"/>
    </xf>
    <xf numFmtId="31" fontId="6" fillId="0" borderId="2" xfId="3" applyNumberFormat="1" applyFont="1" applyBorder="1" applyAlignment="1">
      <alignment vertical="center"/>
    </xf>
    <xf numFmtId="31" fontId="6" fillId="0" borderId="0" xfId="3" applyNumberFormat="1" applyFont="1" applyAlignment="1">
      <alignment horizontal="left" indent="1"/>
    </xf>
    <xf numFmtId="182" fontId="6" fillId="0" borderId="2" xfId="3" applyNumberFormat="1" applyFont="1" applyBorder="1" applyAlignment="1">
      <alignment horizontal="right" vertical="center"/>
    </xf>
    <xf numFmtId="0" fontId="6" fillId="0" borderId="0" xfId="3" applyFont="1" applyAlignment="1">
      <alignment horizontal="right"/>
    </xf>
    <xf numFmtId="0" fontId="9" fillId="0" borderId="0" xfId="3" applyFont="1" applyAlignment="1">
      <alignment horizontal="left"/>
    </xf>
    <xf numFmtId="0" fontId="6" fillId="0" borderId="4" xfId="3" applyFont="1" applyBorder="1" applyAlignment="1">
      <alignment horizontal="center" vertical="center"/>
    </xf>
    <xf numFmtId="0" fontId="6" fillId="0" borderId="4" xfId="3" applyFont="1" applyBorder="1" applyAlignment="1">
      <alignment horizontal="centerContinuous" vertical="center"/>
    </xf>
    <xf numFmtId="0" fontId="6" fillId="0" borderId="3" xfId="3" applyFont="1" applyBorder="1" applyAlignment="1">
      <alignment horizontal="center" vertical="center"/>
    </xf>
    <xf numFmtId="0" fontId="6" fillId="0" borderId="5" xfId="3" applyFont="1" applyBorder="1" applyAlignment="1">
      <alignment horizontal="left" vertical="center"/>
    </xf>
    <xf numFmtId="0" fontId="6" fillId="0" borderId="6" xfId="3" applyFont="1" applyBorder="1" applyAlignment="1">
      <alignment vertical="center"/>
    </xf>
    <xf numFmtId="0" fontId="6" fillId="0" borderId="3" xfId="3" applyFont="1" applyBorder="1" applyAlignment="1">
      <alignment vertical="center"/>
    </xf>
    <xf numFmtId="177" fontId="6" fillId="0" borderId="3" xfId="1" applyFont="1" applyBorder="1" applyAlignment="1">
      <alignment vertical="center"/>
    </xf>
    <xf numFmtId="0" fontId="6" fillId="0" borderId="7" xfId="3" applyFont="1" applyBorder="1"/>
    <xf numFmtId="0" fontId="6" fillId="0" borderId="8" xfId="3" applyFont="1" applyBorder="1"/>
    <xf numFmtId="0" fontId="6" fillId="0" borderId="9" xfId="3" applyFont="1" applyBorder="1"/>
    <xf numFmtId="0" fontId="6" fillId="0" borderId="10" xfId="3" applyFont="1" applyBorder="1" applyAlignment="1">
      <alignment horizontal="left" vertical="center" indent="5"/>
    </xf>
    <xf numFmtId="0" fontId="6" fillId="0" borderId="11" xfId="3" applyFont="1" applyBorder="1"/>
    <xf numFmtId="0" fontId="6" fillId="0" borderId="12" xfId="3" applyFont="1" applyBorder="1"/>
    <xf numFmtId="0" fontId="6" fillId="0" borderId="13" xfId="3" applyFont="1" applyBorder="1"/>
    <xf numFmtId="0" fontId="6" fillId="0" borderId="5" xfId="3" applyFont="1" applyBorder="1" applyAlignment="1">
      <alignment horizontal="right" vertical="center"/>
    </xf>
    <xf numFmtId="0" fontId="12" fillId="0" borderId="3" xfId="0" applyFont="1" applyBorder="1" applyAlignment="1">
      <alignment horizontal="center" vertical="center" wrapText="1"/>
    </xf>
    <xf numFmtId="0" fontId="13" fillId="0" borderId="3" xfId="0" applyFont="1" applyBorder="1" applyAlignment="1">
      <alignment horizontal="center" vertical="center"/>
    </xf>
    <xf numFmtId="49" fontId="13" fillId="0" borderId="16" xfId="0" applyNumberFormat="1" applyFont="1" applyBorder="1" applyAlignment="1">
      <alignment horizontal="center" vertical="center" wrapText="1"/>
    </xf>
    <xf numFmtId="0" fontId="6" fillId="0" borderId="0" xfId="0" applyFont="1">
      <alignment vertical="center"/>
    </xf>
    <xf numFmtId="0" fontId="14" fillId="2" borderId="3" xfId="0" applyFont="1" applyFill="1" applyBorder="1" applyAlignment="1">
      <alignment horizontal="center" vertical="center" wrapText="1"/>
    </xf>
    <xf numFmtId="0" fontId="14" fillId="2" borderId="3" xfId="0" applyFont="1" applyFill="1" applyBorder="1" applyAlignment="1">
      <alignment horizontal="center" vertical="center"/>
    </xf>
    <xf numFmtId="49" fontId="13" fillId="3" borderId="16" xfId="0" applyNumberFormat="1" applyFont="1" applyFill="1" applyBorder="1" applyAlignment="1">
      <alignment horizontal="center" vertical="center" wrapText="1"/>
    </xf>
    <xf numFmtId="49" fontId="13" fillId="3" borderId="3" xfId="0" applyNumberFormat="1" applyFont="1" applyFill="1" applyBorder="1" applyAlignment="1">
      <alignment horizontal="center" vertical="center" wrapText="1"/>
    </xf>
    <xf numFmtId="183" fontId="6" fillId="0" borderId="3" xfId="1" applyNumberFormat="1" applyFont="1"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8" fillId="0" borderId="3" xfId="0" applyFont="1" applyBorder="1" applyAlignment="1">
      <alignment horizontal="center" vertical="center"/>
    </xf>
    <xf numFmtId="0" fontId="16" fillId="2" borderId="3" xfId="0" applyFont="1" applyFill="1" applyBorder="1" applyAlignment="1">
      <alignment horizontal="center" vertical="top"/>
    </xf>
    <xf numFmtId="0" fontId="8" fillId="0" borderId="3" xfId="0" applyFont="1" applyBorder="1" applyAlignment="1"/>
    <xf numFmtId="14" fontId="16" fillId="2" borderId="3" xfId="0" applyNumberFormat="1" applyFont="1" applyFill="1" applyBorder="1" applyAlignment="1">
      <alignment horizontal="center" vertical="top"/>
    </xf>
    <xf numFmtId="14" fontId="8" fillId="0" borderId="3" xfId="0" applyNumberFormat="1" applyFont="1" applyBorder="1" applyAlignment="1"/>
    <xf numFmtId="14" fontId="0" fillId="0" borderId="0" xfId="0" applyNumberFormat="1">
      <alignment vertical="center"/>
    </xf>
    <xf numFmtId="0" fontId="18" fillId="2" borderId="3" xfId="6" applyFont="1" applyFill="1" applyBorder="1" applyAlignment="1">
      <alignment horizontal="center" vertical="top"/>
    </xf>
    <xf numFmtId="0" fontId="14" fillId="2" borderId="3" xfId="6" applyFont="1" applyFill="1" applyBorder="1" applyAlignment="1">
      <alignment horizontal="center" vertical="top"/>
    </xf>
    <xf numFmtId="0" fontId="19" fillId="0" borderId="0" xfId="0" applyFont="1">
      <alignment vertical="center"/>
    </xf>
    <xf numFmtId="0" fontId="20" fillId="0" borderId="3" xfId="6" applyFont="1" applyBorder="1"/>
    <xf numFmtId="0" fontId="0" fillId="3" borderId="3" xfId="0" applyFill="1" applyBorder="1">
      <alignment vertical="center"/>
    </xf>
    <xf numFmtId="0" fontId="19" fillId="0" borderId="3" xfId="0" applyFont="1" applyBorder="1">
      <alignment vertical="center"/>
    </xf>
    <xf numFmtId="0" fontId="19" fillId="3" borderId="3" xfId="0" applyFont="1" applyFill="1" applyBorder="1" applyAlignment="1">
      <alignment horizontal="center" vertical="center"/>
    </xf>
    <xf numFmtId="0" fontId="19" fillId="3" borderId="3" xfId="0" applyFont="1" applyFill="1" applyBorder="1">
      <alignment vertical="center"/>
    </xf>
    <xf numFmtId="0" fontId="8" fillId="3" borderId="3" xfId="0" applyFont="1" applyFill="1" applyBorder="1">
      <alignment vertical="center"/>
    </xf>
    <xf numFmtId="0" fontId="21" fillId="0" borderId="0" xfId="0" applyFont="1" applyAlignment="1">
      <alignment horizontal="center" vertical="center" wrapText="1"/>
    </xf>
    <xf numFmtId="0" fontId="22" fillId="0" borderId="0" xfId="0" applyFont="1" applyAlignment="1">
      <alignment vertical="center" wrapText="1"/>
    </xf>
    <xf numFmtId="177" fontId="0" fillId="0" borderId="0" xfId="1" applyFont="1">
      <alignment vertical="center"/>
    </xf>
    <xf numFmtId="177" fontId="23" fillId="0" borderId="3" xfId="1" applyFont="1" applyBorder="1">
      <alignment vertical="center"/>
    </xf>
    <xf numFmtId="14" fontId="14" fillId="2" borderId="3" xfId="6" applyNumberFormat="1" applyFont="1" applyFill="1" applyBorder="1" applyAlignment="1">
      <alignment horizontal="center" vertical="top"/>
    </xf>
    <xf numFmtId="14" fontId="20" fillId="0" borderId="3" xfId="6" applyNumberFormat="1" applyFont="1" applyBorder="1"/>
    <xf numFmtId="0" fontId="20" fillId="0" borderId="3" xfId="6" applyFont="1" applyBorder="1" applyAlignment="1">
      <alignment horizontal="center"/>
    </xf>
    <xf numFmtId="0" fontId="20" fillId="0" borderId="3" xfId="6" applyFont="1" applyBorder="1" applyAlignment="1">
      <alignment horizontal="right"/>
    </xf>
    <xf numFmtId="177" fontId="20" fillId="0" borderId="3" xfId="1" applyFont="1" applyBorder="1" applyAlignment="1">
      <alignment horizontal="center"/>
    </xf>
    <xf numFmtId="0" fontId="8" fillId="0" borderId="0" xfId="0" applyFont="1" applyAlignment="1">
      <alignment vertical="center" wrapText="1"/>
    </xf>
    <xf numFmtId="0" fontId="24" fillId="2" borderId="3" xfId="0" applyFont="1" applyFill="1" applyBorder="1" applyAlignment="1">
      <alignment horizontal="center" vertical="center" wrapText="1"/>
    </xf>
    <xf numFmtId="0" fontId="23" fillId="0" borderId="3" xfId="0" applyFont="1" applyBorder="1" applyAlignment="1">
      <alignment vertical="center" wrapText="1"/>
    </xf>
    <xf numFmtId="177" fontId="25" fillId="0" borderId="3" xfId="1" applyFont="1" applyBorder="1" applyAlignment="1">
      <alignment vertical="center" wrapText="1"/>
    </xf>
    <xf numFmtId="0" fontId="0" fillId="0" borderId="0" xfId="0" pivotButton="1">
      <alignment vertical="center"/>
    </xf>
    <xf numFmtId="0" fontId="0" fillId="0" borderId="0" xfId="0" applyAlignment="1">
      <alignment horizontal="left" vertical="center"/>
    </xf>
    <xf numFmtId="0" fontId="23" fillId="0" borderId="0" xfId="0" pivotButton="1" applyFont="1">
      <alignment vertical="center"/>
    </xf>
    <xf numFmtId="0" fontId="23" fillId="0" borderId="0" xfId="0" applyFont="1">
      <alignment vertical="center"/>
    </xf>
    <xf numFmtId="0" fontId="23" fillId="0" borderId="0" xfId="0" applyFont="1" applyAlignment="1">
      <alignment horizontal="left" vertical="center"/>
    </xf>
    <xf numFmtId="3" fontId="23" fillId="0" borderId="0" xfId="0" applyNumberFormat="1" applyFont="1">
      <alignment vertical="center"/>
    </xf>
    <xf numFmtId="177" fontId="14" fillId="2" borderId="3" xfId="1" applyFont="1" applyFill="1" applyBorder="1" applyAlignment="1">
      <alignment horizontal="center" vertical="top"/>
    </xf>
    <xf numFmtId="177" fontId="20" fillId="0" borderId="3" xfId="1" applyFont="1" applyBorder="1" applyAlignment="1"/>
    <xf numFmtId="0" fontId="6" fillId="0" borderId="0" xfId="0" pivotButton="1" applyFont="1">
      <alignment vertical="center"/>
    </xf>
    <xf numFmtId="0" fontId="6" fillId="0" borderId="0" xfId="0" applyFont="1" applyAlignment="1">
      <alignment horizontal="left" vertical="center"/>
    </xf>
    <xf numFmtId="177" fontId="6" fillId="0" borderId="0" xfId="0" applyNumberFormat="1" applyFont="1">
      <alignment vertical="center"/>
    </xf>
    <xf numFmtId="9" fontId="20" fillId="0" borderId="3" xfId="5" applyFont="1" applyBorder="1" applyAlignment="1"/>
    <xf numFmtId="0" fontId="13" fillId="0" borderId="3" xfId="0" applyFont="1" applyBorder="1" applyAlignment="1">
      <alignment horizontal="left" vertical="center"/>
    </xf>
    <xf numFmtId="177" fontId="13" fillId="0" borderId="3" xfId="0" applyNumberFormat="1" applyFont="1" applyBorder="1">
      <alignment vertical="center"/>
    </xf>
    <xf numFmtId="0" fontId="13" fillId="4" borderId="3" xfId="0" applyFont="1" applyFill="1" applyBorder="1" applyAlignment="1">
      <alignment horizontal="left" vertical="center"/>
    </xf>
    <xf numFmtId="177" fontId="13" fillId="4" borderId="3" xfId="0" applyNumberFormat="1" applyFont="1" applyFill="1" applyBorder="1">
      <alignment vertical="center"/>
    </xf>
    <xf numFmtId="0" fontId="21" fillId="5" borderId="3" xfId="0" applyFont="1" applyFill="1" applyBorder="1" applyAlignment="1">
      <alignment horizontal="center" vertical="center"/>
    </xf>
    <xf numFmtId="14" fontId="28" fillId="2" borderId="3" xfId="0" applyNumberFormat="1" applyFont="1" applyFill="1" applyBorder="1">
      <alignment vertical="center"/>
    </xf>
    <xf numFmtId="14" fontId="3" fillId="0" borderId="3" xfId="0" applyNumberFormat="1" applyFont="1" applyBorder="1" applyAlignment="1">
      <alignment vertical="center" wrapText="1"/>
    </xf>
    <xf numFmtId="0" fontId="23" fillId="0" borderId="3" xfId="0" applyFont="1" applyBorder="1">
      <alignment vertical="center"/>
    </xf>
    <xf numFmtId="0" fontId="23" fillId="0" borderId="3" xfId="0" applyFont="1" applyBorder="1" applyAlignment="1">
      <alignment horizontal="center" vertical="center" wrapText="1"/>
    </xf>
    <xf numFmtId="0" fontId="25" fillId="0" borderId="3" xfId="0" applyFont="1" applyBorder="1" applyAlignment="1">
      <alignment vertical="center" wrapText="1"/>
    </xf>
    <xf numFmtId="0" fontId="29" fillId="2" borderId="3" xfId="0" applyFont="1" applyFill="1" applyBorder="1" applyAlignment="1">
      <alignment horizontal="center" vertical="center"/>
    </xf>
    <xf numFmtId="14" fontId="23" fillId="0" borderId="3" xfId="0" applyNumberFormat="1" applyFont="1" applyBorder="1">
      <alignment vertical="center"/>
    </xf>
    <xf numFmtId="3" fontId="23" fillId="0" borderId="3" xfId="0" applyNumberFormat="1" applyFont="1" applyBorder="1">
      <alignment vertical="center"/>
    </xf>
    <xf numFmtId="0" fontId="23" fillId="6" borderId="3" xfId="0" applyFont="1" applyFill="1" applyBorder="1">
      <alignment vertical="center"/>
    </xf>
    <xf numFmtId="0" fontId="23" fillId="0" borderId="0" xfId="0" applyFont="1" applyAlignment="1">
      <alignment horizontal="center" vertical="center" wrapText="1"/>
    </xf>
    <xf numFmtId="0" fontId="23" fillId="0" borderId="0" xfId="0" applyFont="1" applyAlignment="1">
      <alignment vertical="center" wrapText="1"/>
    </xf>
    <xf numFmtId="0" fontId="23" fillId="0" borderId="3" xfId="0" applyFont="1" applyBorder="1" applyAlignment="1">
      <alignment horizontal="left" vertical="center" wrapText="1"/>
    </xf>
    <xf numFmtId="0" fontId="23" fillId="0" borderId="3" xfId="0" applyFont="1" applyBorder="1" applyAlignment="1">
      <alignment horizontal="left" vertical="center"/>
    </xf>
    <xf numFmtId="0" fontId="24" fillId="2" borderId="4" xfId="0" applyFont="1" applyFill="1" applyBorder="1" applyAlignment="1">
      <alignment horizontal="center" vertical="center" wrapText="1"/>
    </xf>
    <xf numFmtId="0" fontId="26" fillId="0" borderId="30" xfId="0" applyFont="1" applyBorder="1" applyAlignment="1">
      <alignment horizontal="center" vertical="center"/>
    </xf>
    <xf numFmtId="0" fontId="24" fillId="2" borderId="14"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28" xfId="0" applyFont="1" applyFill="1" applyBorder="1" applyAlignment="1">
      <alignment wrapText="1"/>
    </xf>
    <xf numFmtId="0" fontId="30" fillId="0" borderId="29" xfId="0" applyFont="1" applyBorder="1" applyAlignment="1">
      <alignment horizontal="center" vertical="center" wrapText="1"/>
    </xf>
    <xf numFmtId="0" fontId="8" fillId="3" borderId="29" xfId="0" quotePrefix="1" applyFont="1" applyFill="1" applyBorder="1" applyAlignment="1">
      <alignment vertical="center" wrapText="1"/>
    </xf>
    <xf numFmtId="0" fontId="14" fillId="2" borderId="28" xfId="0" applyFont="1" applyFill="1" applyBorder="1" applyAlignment="1">
      <alignment horizontal="center" vertical="center" wrapText="1"/>
    </xf>
    <xf numFmtId="0" fontId="8" fillId="6" borderId="29" xfId="0" quotePrefix="1" applyFont="1" applyFill="1" applyBorder="1" applyAlignment="1">
      <alignment vertical="center" wrapText="1"/>
    </xf>
    <xf numFmtId="0" fontId="5" fillId="2" borderId="0" xfId="3" applyFont="1" applyFill="1"/>
    <xf numFmtId="0" fontId="6" fillId="2" borderId="0" xfId="0" applyFont="1" applyFill="1">
      <alignment vertical="center"/>
    </xf>
    <xf numFmtId="0" fontId="23" fillId="2" borderId="0" xfId="0" applyFont="1" applyFill="1">
      <alignment vertical="center"/>
    </xf>
    <xf numFmtId="0" fontId="0" fillId="2" borderId="0" xfId="0" applyFill="1">
      <alignment vertical="center"/>
    </xf>
    <xf numFmtId="177" fontId="0" fillId="2" borderId="0" xfId="1" applyFont="1" applyFill="1">
      <alignment vertical="center"/>
    </xf>
    <xf numFmtId="14" fontId="0" fillId="2" borderId="0" xfId="0" applyNumberFormat="1" applyFill="1">
      <alignment vertical="center"/>
    </xf>
    <xf numFmtId="0" fontId="19" fillId="2" borderId="0" xfId="0" applyFont="1" applyFill="1">
      <alignment vertical="center"/>
    </xf>
    <xf numFmtId="0" fontId="6" fillId="8" borderId="0" xfId="0" applyFont="1" applyFill="1">
      <alignment vertical="center"/>
    </xf>
    <xf numFmtId="0" fontId="23" fillId="8" borderId="0" xfId="0" applyFont="1" applyFill="1">
      <alignment vertical="center"/>
    </xf>
    <xf numFmtId="0" fontId="0" fillId="8" borderId="0" xfId="0" applyFill="1">
      <alignment vertical="center"/>
    </xf>
    <xf numFmtId="177" fontId="0" fillId="8" borderId="0" xfId="1" applyFont="1" applyFill="1">
      <alignment vertical="center"/>
    </xf>
    <xf numFmtId="14" fontId="0" fillId="8" borderId="0" xfId="0" applyNumberFormat="1" applyFill="1">
      <alignment vertical="center"/>
    </xf>
    <xf numFmtId="0" fontId="19" fillId="8" borderId="0" xfId="0" applyFont="1" applyFill="1">
      <alignment vertical="center"/>
    </xf>
    <xf numFmtId="0" fontId="5" fillId="8" borderId="0" xfId="3" applyFont="1" applyFill="1"/>
    <xf numFmtId="0" fontId="32" fillId="0" borderId="0" xfId="0" applyFont="1">
      <alignment vertical="center"/>
    </xf>
    <xf numFmtId="0" fontId="33" fillId="0" borderId="0" xfId="7" applyFont="1">
      <alignment vertical="center"/>
    </xf>
    <xf numFmtId="0" fontId="10" fillId="0" borderId="0" xfId="3" applyFont="1" applyAlignment="1">
      <alignment horizontal="center"/>
    </xf>
    <xf numFmtId="0" fontId="6" fillId="0" borderId="1" xfId="3" applyFont="1" applyBorder="1" applyAlignment="1">
      <alignment horizontal="left" vertical="center" indent="1"/>
    </xf>
    <xf numFmtId="0" fontId="6" fillId="0" borderId="14" xfId="3" applyFont="1" applyBorder="1" applyAlignment="1">
      <alignment horizontal="center" vertical="center" textRotation="255"/>
    </xf>
    <xf numFmtId="0" fontId="6" fillId="0" borderId="15" xfId="3" applyFont="1" applyBorder="1" applyAlignment="1">
      <alignment horizontal="center" vertical="center" textRotation="255"/>
    </xf>
    <xf numFmtId="0" fontId="6" fillId="0" borderId="4" xfId="3" applyFont="1" applyBorder="1" applyAlignment="1">
      <alignment horizontal="center" vertical="center" textRotation="255"/>
    </xf>
    <xf numFmtId="0" fontId="6" fillId="0" borderId="5" xfId="3" applyFont="1" applyBorder="1" applyAlignment="1">
      <alignment horizontal="center" vertical="center"/>
    </xf>
    <xf numFmtId="0" fontId="6" fillId="0" borderId="2" xfId="3" applyFont="1" applyBorder="1" applyAlignment="1">
      <alignment horizontal="center" vertical="center"/>
    </xf>
    <xf numFmtId="0" fontId="6" fillId="0" borderId="6" xfId="3" applyFont="1" applyBorder="1" applyAlignment="1">
      <alignment horizontal="center" vertical="center"/>
    </xf>
    <xf numFmtId="0" fontId="6" fillId="0" borderId="5" xfId="3" applyFont="1" applyBorder="1" applyAlignment="1">
      <alignment horizontal="left" vertical="center" wrapText="1"/>
    </xf>
    <xf numFmtId="0" fontId="6" fillId="0" borderId="2" xfId="3" applyFont="1" applyBorder="1" applyAlignment="1">
      <alignment horizontal="left" vertical="center" wrapText="1"/>
    </xf>
    <xf numFmtId="0" fontId="6" fillId="0" borderId="6" xfId="3" applyFont="1" applyBorder="1" applyAlignment="1">
      <alignment horizontal="left" vertical="center" wrapText="1"/>
    </xf>
    <xf numFmtId="0" fontId="6" fillId="0" borderId="12" xfId="3" applyFont="1" applyBorder="1" applyAlignment="1">
      <alignment horizontal="center" vertical="center"/>
    </xf>
    <xf numFmtId="0" fontId="6" fillId="0" borderId="13" xfId="3" applyFont="1" applyBorder="1" applyAlignment="1">
      <alignment horizontal="center" vertical="center"/>
    </xf>
    <xf numFmtId="0" fontId="6" fillId="0" borderId="3" xfId="3" applyFont="1" applyBorder="1" applyAlignment="1">
      <alignment horizontal="center" vertical="center"/>
    </xf>
    <xf numFmtId="0" fontId="6" fillId="0" borderId="5" xfId="3" applyFont="1" applyBorder="1" applyAlignment="1">
      <alignment horizontal="center" vertical="center" wrapText="1"/>
    </xf>
    <xf numFmtId="0" fontId="6" fillId="0" borderId="6" xfId="3" applyFont="1" applyBorder="1" applyAlignment="1">
      <alignment horizontal="center" vertical="center" wrapText="1"/>
    </xf>
    <xf numFmtId="181" fontId="6" fillId="0" borderId="3" xfId="0" applyNumberFormat="1" applyFont="1" applyBorder="1" applyAlignment="1">
      <alignment horizontal="center" vertical="center"/>
    </xf>
    <xf numFmtId="180" fontId="6" fillId="0" borderId="3" xfId="2" applyNumberFormat="1" applyFont="1" applyBorder="1" applyAlignment="1">
      <alignment horizontal="center" vertical="center"/>
    </xf>
    <xf numFmtId="0" fontId="15" fillId="0" borderId="3" xfId="0" applyFont="1" applyBorder="1" applyAlignment="1">
      <alignment horizontal="center" vertical="center"/>
    </xf>
    <xf numFmtId="0" fontId="24" fillId="7" borderId="34" xfId="0" applyFont="1" applyFill="1" applyBorder="1" applyAlignment="1">
      <alignment horizontal="center" vertical="center"/>
    </xf>
    <xf numFmtId="0" fontId="24" fillId="7" borderId="36" xfId="0" applyFont="1" applyFill="1" applyBorder="1" applyAlignment="1">
      <alignment horizontal="center" vertical="center"/>
    </xf>
    <xf numFmtId="0" fontId="24" fillId="2" borderId="37" xfId="0" applyFont="1" applyFill="1" applyBorder="1" applyAlignment="1">
      <alignment horizontal="center" vertical="center" wrapText="1"/>
    </xf>
    <xf numFmtId="0" fontId="24" fillId="2" borderId="38" xfId="0" applyFont="1" applyFill="1" applyBorder="1" applyAlignment="1">
      <alignment horizontal="center" vertical="center" wrapText="1"/>
    </xf>
    <xf numFmtId="0" fontId="25" fillId="0" borderId="3" xfId="0" applyFont="1" applyBorder="1" applyAlignment="1">
      <alignment horizontal="left" vertical="center" wrapText="1"/>
    </xf>
    <xf numFmtId="0" fontId="23" fillId="0" borderId="3" xfId="0" applyFont="1" applyBorder="1" applyAlignment="1">
      <alignment horizontal="center" vertical="center"/>
    </xf>
    <xf numFmtId="0" fontId="24" fillId="2" borderId="3" xfId="0" applyFont="1" applyFill="1" applyBorder="1" applyAlignment="1">
      <alignment horizontal="center" vertical="center" wrapText="1"/>
    </xf>
    <xf numFmtId="0" fontId="23" fillId="0" borderId="3" xfId="0" applyFont="1" applyBorder="1" applyAlignment="1">
      <alignment horizontal="center" vertical="center" wrapText="1"/>
    </xf>
    <xf numFmtId="0" fontId="24" fillId="2" borderId="3" xfId="0" applyFont="1" applyFill="1" applyBorder="1" applyAlignment="1">
      <alignment horizontal="center" vertical="center"/>
    </xf>
    <xf numFmtId="0" fontId="27" fillId="0" borderId="32" xfId="0" applyFont="1" applyBorder="1" applyAlignment="1">
      <alignment horizontal="center" vertical="center"/>
    </xf>
    <xf numFmtId="0" fontId="27" fillId="0" borderId="33" xfId="0" applyFont="1" applyBorder="1" applyAlignment="1">
      <alignment horizontal="center" vertical="center"/>
    </xf>
    <xf numFmtId="0" fontId="27" fillId="0" borderId="35" xfId="0" applyFont="1" applyBorder="1" applyAlignment="1">
      <alignment horizontal="center" vertical="center" wrapText="1"/>
    </xf>
    <xf numFmtId="0" fontId="27" fillId="0" borderId="35" xfId="0" applyFont="1" applyBorder="1" applyAlignment="1">
      <alignment horizontal="center" vertical="center"/>
    </xf>
    <xf numFmtId="0" fontId="27" fillId="0" borderId="36" xfId="0" applyFont="1" applyBorder="1" applyAlignment="1">
      <alignment horizontal="center" vertical="center"/>
    </xf>
  </cellXfs>
  <cellStyles count="8">
    <cellStyle name="백분율" xfId="5" builtinId="5"/>
    <cellStyle name="쉼표 [0]" xfId="1" builtinId="6"/>
    <cellStyle name="통화 [0]" xfId="2" builtinId="7"/>
    <cellStyle name="표준" xfId="0" builtinId="0"/>
    <cellStyle name="표준 2" xfId="6" xr:uid="{BF98A567-0604-4F6A-AD7E-8D362B1DE34C}"/>
    <cellStyle name="표준_견적서양식" xfId="3" xr:uid="{00000000-0005-0000-0000-000004000000}"/>
    <cellStyle name="표준_technic22" xfId="4" xr:uid="{00000000-0005-0000-0000-000003000000}"/>
    <cellStyle name="하이퍼링크" xfId="7" builtinId="8"/>
  </cellStyles>
  <dxfs count="36">
    <dxf>
      <font>
        <color theme="0"/>
      </font>
      <numFmt numFmtId="184" formatCode=";;;"/>
    </dxf>
    <dxf>
      <fill>
        <patternFill>
          <bgColor rgb="FFFFC000"/>
        </patternFill>
      </fill>
    </dxf>
    <dxf>
      <font>
        <b val="0"/>
      </font>
    </dxf>
    <dxf>
      <font>
        <b val="0"/>
      </font>
    </dxf>
    <dxf>
      <font>
        <b val="0"/>
      </font>
    </dxf>
    <dxf>
      <font>
        <b val="0"/>
      </font>
    </dxf>
    <dxf>
      <font>
        <b val="0"/>
      </font>
    </dxf>
    <dxf>
      <font>
        <b val="0"/>
      </font>
    </dxf>
    <dxf>
      <font>
        <name val="맑은 고딕"/>
        <scheme val="minor"/>
      </font>
    </dxf>
    <dxf>
      <font>
        <name val="맑은 고딕"/>
        <scheme val="minor"/>
      </font>
    </dxf>
    <dxf>
      <font>
        <name val="맑은 고딕"/>
        <scheme val="minor"/>
      </font>
    </dxf>
    <dxf>
      <font>
        <name val="맑은 고딕"/>
        <scheme val="minor"/>
      </font>
    </dxf>
    <dxf>
      <font>
        <name val="맑은 고딕"/>
        <scheme val="minor"/>
      </font>
    </dxf>
    <dxf>
      <font>
        <name val="맑은 고딕"/>
        <scheme val="minor"/>
      </fon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font>
        <name val="맑은 고딕"/>
        <scheme val="major"/>
      </font>
    </dxf>
    <dxf>
      <numFmt numFmtId="177"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pivotSource>
    <c:name>[샘플시트.xlsx]M6. 피벗차트 만들기 튜토리얼(1)!피벗 테이블1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'M6. 피벗차트 만들기 튜토리얼(1)'!$N$5:$N$6</c:f>
              <c:strCache>
                <c:ptCount val="1"/>
                <c:pt idx="0">
                  <c:v>가전</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튜토리얼(1)'!$N$7:$N$10</c:f>
              <c:numCache>
                <c:formatCode>#,##0</c:formatCode>
                <c:ptCount val="3"/>
                <c:pt idx="0">
                  <c:v>48043733.390000008</c:v>
                </c:pt>
                <c:pt idx="1">
                  <c:v>44815396.600000001</c:v>
                </c:pt>
                <c:pt idx="2">
                  <c:v>53520936.480000004</c:v>
                </c:pt>
              </c:numCache>
            </c:numRef>
          </c:val>
          <c:extLst>
            <c:ext xmlns:c16="http://schemas.microsoft.com/office/drawing/2014/chart" uri="{C3380CC4-5D6E-409C-BE32-E72D297353CC}">
              <c16:uniqueId val="{00000000-37DA-49C2-A947-48AF4C7D48AE}"/>
            </c:ext>
          </c:extLst>
        </c:ser>
        <c:ser>
          <c:idx val="1"/>
          <c:order val="1"/>
          <c:tx>
            <c:strRef>
              <c:f>'M6. 피벗차트 만들기 튜토리얼(1)'!$O$5:$O$6</c:f>
              <c:strCache>
                <c:ptCount val="1"/>
                <c:pt idx="0">
                  <c:v>모바일</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튜토리얼(1)'!$O$7:$O$10</c:f>
              <c:numCache>
                <c:formatCode>#,##0</c:formatCode>
                <c:ptCount val="3"/>
                <c:pt idx="0">
                  <c:v>33118629.010000002</c:v>
                </c:pt>
                <c:pt idx="1">
                  <c:v>45625838.659999996</c:v>
                </c:pt>
                <c:pt idx="2">
                  <c:v>46029403.160000004</c:v>
                </c:pt>
              </c:numCache>
            </c:numRef>
          </c:val>
          <c:extLst>
            <c:ext xmlns:c16="http://schemas.microsoft.com/office/drawing/2014/chart" uri="{C3380CC4-5D6E-409C-BE32-E72D297353CC}">
              <c16:uniqueId val="{00000001-37DA-49C2-A947-48AF4C7D48AE}"/>
            </c:ext>
          </c:extLst>
        </c:ser>
        <c:ser>
          <c:idx val="2"/>
          <c:order val="2"/>
          <c:tx>
            <c:strRef>
              <c:f>'M6. 피벗차트 만들기 튜토리얼(1)'!$P$5:$P$6</c:f>
              <c:strCache>
                <c:ptCount val="1"/>
                <c:pt idx="0">
                  <c:v>생활가전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튜토리얼(1)'!$P$7:$P$10</c:f>
              <c:numCache>
                <c:formatCode>#,##0</c:formatCode>
                <c:ptCount val="3"/>
                <c:pt idx="0">
                  <c:v>47973150.930000007</c:v>
                </c:pt>
                <c:pt idx="1">
                  <c:v>52581230.619999997</c:v>
                </c:pt>
                <c:pt idx="2">
                  <c:v>34556176.840000004</c:v>
                </c:pt>
              </c:numCache>
            </c:numRef>
          </c:val>
          <c:extLst>
            <c:ext xmlns:c16="http://schemas.microsoft.com/office/drawing/2014/chart" uri="{C3380CC4-5D6E-409C-BE32-E72D297353CC}">
              <c16:uniqueId val="{00000002-37DA-49C2-A947-48AF4C7D48AE}"/>
            </c:ext>
          </c:extLst>
        </c:ser>
        <c:ser>
          <c:idx val="3"/>
          <c:order val="3"/>
          <c:tx>
            <c:strRef>
              <c:f>'M6. 피벗차트 만들기 튜토리얼(1)'!$Q$5:$Q$6</c:f>
              <c:strCache>
                <c:ptCount val="1"/>
                <c:pt idx="0">
                  <c:v>오디오</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튜토리얼(1)'!$Q$7:$Q$10</c:f>
              <c:numCache>
                <c:formatCode>#,##0</c:formatCode>
                <c:ptCount val="3"/>
                <c:pt idx="0">
                  <c:v>46920993.149999999</c:v>
                </c:pt>
                <c:pt idx="1">
                  <c:v>31458625.559999999</c:v>
                </c:pt>
                <c:pt idx="2">
                  <c:v>22954945.740000006</c:v>
                </c:pt>
              </c:numCache>
            </c:numRef>
          </c:val>
          <c:extLst>
            <c:ext xmlns:c16="http://schemas.microsoft.com/office/drawing/2014/chart" uri="{C3380CC4-5D6E-409C-BE32-E72D297353CC}">
              <c16:uniqueId val="{00000003-37DA-49C2-A947-48AF4C7D48AE}"/>
            </c:ext>
          </c:extLst>
        </c:ser>
        <c:ser>
          <c:idx val="4"/>
          <c:order val="4"/>
          <c:tx>
            <c:strRef>
              <c:f>'M6. 피벗차트 만들기 튜토리얼(1)'!$R$5:$R$6</c:f>
              <c:strCache>
                <c:ptCount val="1"/>
                <c:pt idx="0">
                  <c:v>전자제품</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튜토리얼(1)'!$R$7:$R$10</c:f>
              <c:numCache>
                <c:formatCode>#,##0</c:formatCode>
                <c:ptCount val="3"/>
                <c:pt idx="0">
                  <c:v>47427021.199999996</c:v>
                </c:pt>
                <c:pt idx="1">
                  <c:v>53544110.43999999</c:v>
                </c:pt>
                <c:pt idx="2">
                  <c:v>43495753.879999995</c:v>
                </c:pt>
              </c:numCache>
            </c:numRef>
          </c:val>
          <c:extLst>
            <c:ext xmlns:c16="http://schemas.microsoft.com/office/drawing/2014/chart" uri="{C3380CC4-5D6E-409C-BE32-E72D297353CC}">
              <c16:uniqueId val="{00000004-37DA-49C2-A947-48AF4C7D48AE}"/>
            </c:ext>
          </c:extLst>
        </c:ser>
        <c:ser>
          <c:idx val="5"/>
          <c:order val="5"/>
          <c:tx>
            <c:strRef>
              <c:f>'M6. 피벗차트 만들기 튜토리얼(1)'!$S$5:$S$6</c:f>
              <c:strCache>
                <c:ptCount val="1"/>
                <c:pt idx="0">
                  <c:v>카메라</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튜토리얼(1)'!$S$7:$S$10</c:f>
              <c:numCache>
                <c:formatCode>#,##0</c:formatCode>
                <c:ptCount val="3"/>
                <c:pt idx="0">
                  <c:v>59072748.080000021</c:v>
                </c:pt>
                <c:pt idx="1">
                  <c:v>44235604.82</c:v>
                </c:pt>
                <c:pt idx="2">
                  <c:v>50579036.519999996</c:v>
                </c:pt>
              </c:numCache>
            </c:numRef>
          </c:val>
          <c:extLst>
            <c:ext xmlns:c16="http://schemas.microsoft.com/office/drawing/2014/chart" uri="{C3380CC4-5D6E-409C-BE32-E72D297353CC}">
              <c16:uniqueId val="{00000005-37DA-49C2-A947-48AF4C7D48AE}"/>
            </c:ext>
          </c:extLst>
        </c:ser>
        <c:ser>
          <c:idx val="6"/>
          <c:order val="6"/>
          <c:tx>
            <c:strRef>
              <c:f>'M6. 피벗차트 만들기 튜토리얼(1)'!$T$5:$T$6</c:f>
              <c:strCache>
                <c:ptCount val="1"/>
                <c:pt idx="0">
                  <c:v>컴퓨터</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'M6. 피벗차트 만들기 튜토리얼(1)'!$M$7:$M$10</c:f>
              <c:strCache>
                <c:ptCount val="3"/>
                <c:pt idx="0">
                  <c:v>2022년</c:v>
                </c:pt>
                <c:pt idx="1">
                  <c:v>2023년</c:v>
                </c:pt>
                <c:pt idx="2">
                  <c:v>2024년</c:v>
                </c:pt>
              </c:strCache>
            </c:strRef>
          </c:cat>
          <c:val>
            <c:numRef>
              <c:f>'M6. 피벗차트 만들기 튜토리얼(1)'!$T$7:$T$10</c:f>
              <c:numCache>
                <c:formatCode>#,##0</c:formatCode>
                <c:ptCount val="3"/>
                <c:pt idx="0">
                  <c:v>50611807.089999996</c:v>
                </c:pt>
                <c:pt idx="1">
                  <c:v>39322306.600000001</c:v>
                </c:pt>
                <c:pt idx="2">
                  <c:v>44056081.449999996</c:v>
                </c:pt>
              </c:numCache>
            </c:numRef>
          </c:val>
          <c:extLst>
            <c:ext xmlns:c16="http://schemas.microsoft.com/office/drawing/2014/chart" uri="{C3380CC4-5D6E-409C-BE32-E72D297353CC}">
              <c16:uniqueId val="{00000006-37DA-49C2-A947-48AF4C7D48AE}"/>
            </c:ext>
          </c:extLst>
        </c:ser>
        <c:dLbls>
          <c:dLblPos val="ctr"/>
          <c:showLegendKey val="0"/>
          <c:showVal val="1"/>
          <c:showCatName val="0"/>
          <c:showSerName val="0"/>
          <c:showPercent val="0"/>
          <c:showBubbleSize val="0"/>
        </c:dLbls>
        <c:gapWidth val="150"/>
        <c:overlap val="100"/>
        <c:axId val="1311077183"/>
        <c:axId val="1311077663"/>
      </c:barChart>
      <c:catAx>
        <c:axId val="131107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1077663"/>
        <c:crosses val="autoZero"/>
        <c:auto val="1"/>
        <c:lblAlgn val="ctr"/>
        <c:lblOffset val="100"/>
        <c:noMultiLvlLbl val="0"/>
      </c:catAx>
      <c:valAx>
        <c:axId val="1311077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107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pivotSource>
    <c:name>[샘플시트.xlsx]M7. 테이블,차트 데이터분석!피벗 테이블5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'M7. 테이블,차트 데이터분석'!$M$6</c:f>
              <c:strCache>
                <c:ptCount val="1"/>
                <c:pt idx="0">
                  <c:v>합계 : 총 매출</c:v>
                </c:pt>
              </c:strCache>
            </c:strRef>
          </c:tx>
          <c:spPr>
            <a:solidFill>
              <a:schemeClr val="accent1"/>
            </a:solidFill>
            <a:ln>
              <a:noFill/>
            </a:ln>
            <a:effectLst/>
          </c:spPr>
          <c:invertIfNegative val="0"/>
          <c:cat>
            <c:strRef>
              <c:f>'M7. 테이블,차트 데이터분석'!$L$7:$L$17</c:f>
              <c:strCache>
                <c:ptCount val="10"/>
                <c:pt idx="0">
                  <c:v>0-0.05</c:v>
                </c:pt>
                <c:pt idx="1">
                  <c:v>0.05-0.1</c:v>
                </c:pt>
                <c:pt idx="2">
                  <c:v>0.1-0.15</c:v>
                </c:pt>
                <c:pt idx="3">
                  <c:v>0.15-0.2</c:v>
                </c:pt>
                <c:pt idx="4">
                  <c:v>0.2-0.25</c:v>
                </c:pt>
                <c:pt idx="5">
                  <c:v>0.25-0.3</c:v>
                </c:pt>
                <c:pt idx="6">
                  <c:v>0.3-0.35</c:v>
                </c:pt>
                <c:pt idx="7">
                  <c:v>0.35-0.4</c:v>
                </c:pt>
                <c:pt idx="8">
                  <c:v>0.4-0.45</c:v>
                </c:pt>
                <c:pt idx="9">
                  <c:v>0.45-0.5</c:v>
                </c:pt>
              </c:strCache>
            </c:strRef>
          </c:cat>
          <c:val>
            <c:numRef>
              <c:f>'M7. 테이블,차트 데이터분석'!$M$7:$M$17</c:f>
              <c:numCache>
                <c:formatCode>General</c:formatCode>
                <c:ptCount val="10"/>
                <c:pt idx="0">
                  <c:v>82697336.810000002</c:v>
                </c:pt>
                <c:pt idx="1">
                  <c:v>76647039.070000008</c:v>
                </c:pt>
                <c:pt idx="2">
                  <c:v>87120442.409999996</c:v>
                </c:pt>
                <c:pt idx="3">
                  <c:v>125057858.76000002</c:v>
                </c:pt>
                <c:pt idx="4">
                  <c:v>78653370.660000011</c:v>
                </c:pt>
                <c:pt idx="5">
                  <c:v>103022227.64999999</c:v>
                </c:pt>
                <c:pt idx="6">
                  <c:v>89124494.539999977</c:v>
                </c:pt>
                <c:pt idx="7">
                  <c:v>108355437.75</c:v>
                </c:pt>
                <c:pt idx="8">
                  <c:v>90843064.150000006</c:v>
                </c:pt>
                <c:pt idx="9">
                  <c:v>98422258.420000017</c:v>
                </c:pt>
              </c:numCache>
            </c:numRef>
          </c:val>
          <c:extLst>
            <c:ext xmlns:c16="http://schemas.microsoft.com/office/drawing/2014/chart" uri="{C3380CC4-5D6E-409C-BE32-E72D297353CC}">
              <c16:uniqueId val="{00000000-4C0C-4B77-A770-1C811D9F4767}"/>
            </c:ext>
          </c:extLst>
        </c:ser>
        <c:dLbls>
          <c:showLegendKey val="0"/>
          <c:showVal val="0"/>
          <c:showCatName val="0"/>
          <c:showSerName val="0"/>
          <c:showPercent val="0"/>
          <c:showBubbleSize val="0"/>
        </c:dLbls>
        <c:gapWidth val="219"/>
        <c:axId val="1317965503"/>
        <c:axId val="1317965983"/>
      </c:barChart>
      <c:lineChart>
        <c:grouping val="standard"/>
        <c:varyColors val="0"/>
        <c:ser>
          <c:idx val="1"/>
          <c:order val="1"/>
          <c:tx>
            <c:strRef>
              <c:f>'M7. 테이블,차트 데이터분석'!$N$6</c:f>
              <c:strCache>
                <c:ptCount val="1"/>
                <c:pt idx="0">
                  <c:v>합계 : 판매 수량</c:v>
                </c:pt>
              </c:strCache>
            </c:strRef>
          </c:tx>
          <c:spPr>
            <a:ln w="28575" cap="rnd">
              <a:solidFill>
                <a:schemeClr val="accent2"/>
              </a:solidFill>
              <a:round/>
            </a:ln>
            <a:effectLst/>
          </c:spPr>
          <c:marker>
            <c:symbol val="none"/>
          </c:marker>
          <c:cat>
            <c:strRef>
              <c:f>'M7. 테이블,차트 데이터분석'!$L$7:$L$17</c:f>
              <c:strCache>
                <c:ptCount val="10"/>
                <c:pt idx="0">
                  <c:v>0-0.05</c:v>
                </c:pt>
                <c:pt idx="1">
                  <c:v>0.05-0.1</c:v>
                </c:pt>
                <c:pt idx="2">
                  <c:v>0.1-0.15</c:v>
                </c:pt>
                <c:pt idx="3">
                  <c:v>0.15-0.2</c:v>
                </c:pt>
                <c:pt idx="4">
                  <c:v>0.2-0.25</c:v>
                </c:pt>
                <c:pt idx="5">
                  <c:v>0.25-0.3</c:v>
                </c:pt>
                <c:pt idx="6">
                  <c:v>0.3-0.35</c:v>
                </c:pt>
                <c:pt idx="7">
                  <c:v>0.35-0.4</c:v>
                </c:pt>
                <c:pt idx="8">
                  <c:v>0.4-0.45</c:v>
                </c:pt>
                <c:pt idx="9">
                  <c:v>0.45-0.5</c:v>
                </c:pt>
              </c:strCache>
            </c:strRef>
          </c:cat>
          <c:val>
            <c:numRef>
              <c:f>'M7. 테이블,차트 데이터분석'!$N$7:$N$17</c:f>
              <c:numCache>
                <c:formatCode>General</c:formatCode>
                <c:ptCount val="10"/>
                <c:pt idx="0">
                  <c:v>2227</c:v>
                </c:pt>
                <c:pt idx="1">
                  <c:v>2216</c:v>
                </c:pt>
                <c:pt idx="2">
                  <c:v>2291</c:v>
                </c:pt>
                <c:pt idx="3">
                  <c:v>3019</c:v>
                </c:pt>
                <c:pt idx="4">
                  <c:v>1994</c:v>
                </c:pt>
                <c:pt idx="5">
                  <c:v>2442</c:v>
                </c:pt>
                <c:pt idx="6">
                  <c:v>2542</c:v>
                </c:pt>
                <c:pt idx="7">
                  <c:v>3043</c:v>
                </c:pt>
                <c:pt idx="8">
                  <c:v>2485</c:v>
                </c:pt>
                <c:pt idx="9">
                  <c:v>2752</c:v>
                </c:pt>
              </c:numCache>
            </c:numRef>
          </c:val>
          <c:smooth val="0"/>
          <c:extLst>
            <c:ext xmlns:c16="http://schemas.microsoft.com/office/drawing/2014/chart" uri="{C3380CC4-5D6E-409C-BE32-E72D297353CC}">
              <c16:uniqueId val="{00000001-4C0C-4B77-A770-1C811D9F4767}"/>
            </c:ext>
          </c:extLst>
        </c:ser>
        <c:dLbls>
          <c:showLegendKey val="0"/>
          <c:showVal val="0"/>
          <c:showCatName val="0"/>
          <c:showSerName val="0"/>
          <c:showPercent val="0"/>
          <c:showBubbleSize val="0"/>
        </c:dLbls>
        <c:marker val="1"/>
        <c:smooth val="0"/>
        <c:axId val="1260550960"/>
        <c:axId val="1260551440"/>
      </c:lineChart>
      <c:catAx>
        <c:axId val="13179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7965983"/>
        <c:crosses val="autoZero"/>
        <c:auto val="1"/>
        <c:lblAlgn val="ctr"/>
        <c:lblOffset val="100"/>
        <c:noMultiLvlLbl val="0"/>
      </c:catAx>
      <c:valAx>
        <c:axId val="131796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7965503"/>
        <c:crosses val="autoZero"/>
        <c:crossBetween val="between"/>
      </c:valAx>
      <c:valAx>
        <c:axId val="1260551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60550960"/>
        <c:crosses val="max"/>
        <c:crossBetween val="between"/>
      </c:valAx>
      <c:catAx>
        <c:axId val="1260550960"/>
        <c:scaling>
          <c:orientation val="minMax"/>
        </c:scaling>
        <c:delete val="1"/>
        <c:axPos val="b"/>
        <c:numFmt formatCode="General" sourceLinked="1"/>
        <c:majorTickMark val="out"/>
        <c:minorTickMark val="none"/>
        <c:tickLblPos val="nextTo"/>
        <c:crossAx val="1260551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AF81F5FF-C87F-429F-81B5-FE74E3C5A795}">
          <cx:dataLabels pos="outEnd">
            <cx:txPr>
              <a:bodyPr spcFirstLastPara="1" vertOverflow="ellipsis" horzOverflow="overflow" wrap="square" lIns="0" tIns="0" rIns="0" bIns="0" anchor="ctr" anchorCtr="1"/>
              <a:lstStyle/>
              <a:p>
                <a:pPr algn="ctr" rtl="0">
                  <a:defRPr sz="700"/>
                </a:pPr>
                <a:endParaRPr lang="ko-KR" altLang="en-US" sz="700" b="0" i="0" u="none" strike="noStrike" baseline="0">
                  <a:solidFill>
                    <a:sysClr val="windowText" lastClr="000000">
                      <a:lumMod val="65000"/>
                      <a:lumOff val="35000"/>
                    </a:sysClr>
                  </a:solidFill>
                  <a:latin typeface="Calibri" panose="020F0502020204030204"/>
                  <a:ea typeface="맑은 고딕" panose="020B0503020000020004" pitchFamily="50" charset="-127"/>
                </a:endParaRPr>
              </a:p>
            </cx:txPr>
            <cx:visibility seriesName="0" categoryName="0" value="1"/>
          </cx:dataLabels>
          <cx:dataId val="0"/>
          <cx:layoutPr>
            <cx:subtotals>
              <cx:idx val="12"/>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7785;&#52264;!A1"/><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7785;&#52264;!A1"/><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7785;&#52264;!A1"/><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7785;&#52264;!A1"/></Relationships>
</file>

<file path=xl/drawings/drawing1.xml><?xml version="1.0" encoding="utf-8"?>
<xdr:wsDr xmlns:xdr="http://schemas.openxmlformats.org/drawingml/2006/spreadsheetDrawing" xmlns:a="http://schemas.openxmlformats.org/drawingml/2006/main">
  <xdr:twoCellAnchor editAs="oneCell">
    <xdr:from>
      <xdr:col>1</xdr:col>
      <xdr:colOff>68385</xdr:colOff>
      <xdr:row>27</xdr:row>
      <xdr:rowOff>34194</xdr:rowOff>
    </xdr:from>
    <xdr:to>
      <xdr:col>3</xdr:col>
      <xdr:colOff>670278</xdr:colOff>
      <xdr:row>27</xdr:row>
      <xdr:rowOff>357310</xdr:rowOff>
    </xdr:to>
    <xdr:pic>
      <xdr:nvPicPr>
        <xdr:cNvPr id="6" name="그림 5">
          <a:hlinkClick xmlns:r="http://schemas.openxmlformats.org/officeDocument/2006/relationships" r:id="rId1"/>
          <a:extLst>
            <a:ext uri="{FF2B5EF4-FFF2-40B4-BE49-F238E27FC236}">
              <a16:creationId xmlns:a16="http://schemas.microsoft.com/office/drawing/2014/main" id="{2BE3AADA-C79A-BC81-FA87-A11AA93992F9}"/>
            </a:ext>
          </a:extLst>
        </xdr:cNvPr>
        <xdr:cNvPicPr>
          <a:picLocks noChangeAspect="1"/>
        </xdr:cNvPicPr>
      </xdr:nvPicPr>
      <xdr:blipFill>
        <a:blip xmlns:r="http://schemas.openxmlformats.org/officeDocument/2006/relationships" r:embed="rId2"/>
        <a:stretch>
          <a:fillRect/>
        </a:stretch>
      </xdr:blipFill>
      <xdr:spPr>
        <a:xfrm>
          <a:off x="200270" y="34194"/>
          <a:ext cx="1700931" cy="323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146050</xdr:colOff>
      <xdr:row>19</xdr:row>
      <xdr:rowOff>0</xdr:rowOff>
    </xdr:from>
    <xdr:to>
      <xdr:col>2</xdr:col>
      <xdr:colOff>284881</xdr:colOff>
      <xdr:row>19</xdr:row>
      <xdr:rowOff>323116</xdr:rowOff>
    </xdr:to>
    <xdr:pic>
      <xdr:nvPicPr>
        <xdr:cNvPr id="3" name="그림 2">
          <a:hlinkClick xmlns:r="http://schemas.openxmlformats.org/officeDocument/2006/relationships" r:id="rId1"/>
          <a:extLst>
            <a:ext uri="{FF2B5EF4-FFF2-40B4-BE49-F238E27FC236}">
              <a16:creationId xmlns:a16="http://schemas.microsoft.com/office/drawing/2014/main" id="{9EDF9C5A-FA3B-4366-8D06-7E066489FA25}"/>
            </a:ext>
          </a:extLst>
        </xdr:cNvPr>
        <xdr:cNvPicPr>
          <a:picLocks noChangeAspect="1"/>
        </xdr:cNvPicPr>
      </xdr:nvPicPr>
      <xdr:blipFill>
        <a:blip xmlns:r="http://schemas.openxmlformats.org/officeDocument/2006/relationships" r:embed="rId2"/>
        <a:stretch>
          <a:fillRect/>
        </a:stretch>
      </xdr:blipFill>
      <xdr:spPr>
        <a:xfrm>
          <a:off x="146050" y="0"/>
          <a:ext cx="1700931" cy="3231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88900</xdr:colOff>
      <xdr:row>18</xdr:row>
      <xdr:rowOff>25400</xdr:rowOff>
    </xdr:from>
    <xdr:to>
      <xdr:col>2</xdr:col>
      <xdr:colOff>227731</xdr:colOff>
      <xdr:row>18</xdr:row>
      <xdr:rowOff>348516</xdr:rowOff>
    </xdr:to>
    <xdr:pic>
      <xdr:nvPicPr>
        <xdr:cNvPr id="3" name="그림 2">
          <a:hlinkClick xmlns:r="http://schemas.openxmlformats.org/officeDocument/2006/relationships" r:id="rId1"/>
          <a:extLst>
            <a:ext uri="{FF2B5EF4-FFF2-40B4-BE49-F238E27FC236}">
              <a16:creationId xmlns:a16="http://schemas.microsoft.com/office/drawing/2014/main" id="{D054E669-5CFD-4E64-8F05-5F1F4F6F642E}"/>
            </a:ext>
          </a:extLst>
        </xdr:cNvPr>
        <xdr:cNvPicPr>
          <a:picLocks noChangeAspect="1"/>
        </xdr:cNvPicPr>
      </xdr:nvPicPr>
      <xdr:blipFill>
        <a:blip xmlns:r="http://schemas.openxmlformats.org/officeDocument/2006/relationships" r:embed="rId2"/>
        <a:stretch>
          <a:fillRect/>
        </a:stretch>
      </xdr:blipFill>
      <xdr:spPr>
        <a:xfrm>
          <a:off x="88900" y="4140200"/>
          <a:ext cx="1700931" cy="323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2</xdr:col>
      <xdr:colOff>24531</xdr:colOff>
      <xdr:row>33</xdr:row>
      <xdr:rowOff>323116</xdr:rowOff>
    </xdr:to>
    <xdr:pic>
      <xdr:nvPicPr>
        <xdr:cNvPr id="3" name="그림 2">
          <a:hlinkClick xmlns:r="http://schemas.openxmlformats.org/officeDocument/2006/relationships" r:id="rId1"/>
          <a:extLst>
            <a:ext uri="{FF2B5EF4-FFF2-40B4-BE49-F238E27FC236}">
              <a16:creationId xmlns:a16="http://schemas.microsoft.com/office/drawing/2014/main" id="{0F6F8FCD-C68B-4847-8264-97ABDE95083A}"/>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678581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0421AE29-9378-4878-B411-C37461913506}"/>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754781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62A54E06-D448-4401-B359-6CC7B051A980}"/>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42460</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753FFDE2-5841-474E-A0FE-56258982F4E8}"/>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380131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A93F4EDB-85DF-45DB-962A-85AF57011CB7}"/>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380131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72DF11B3-4E99-4F57-BA6B-FF5127EC4C46}"/>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581025</xdr:colOff>
      <xdr:row>11</xdr:row>
      <xdr:rowOff>190499</xdr:rowOff>
    </xdr:from>
    <xdr:to>
      <xdr:col>17</xdr:col>
      <xdr:colOff>971550</xdr:colOff>
      <xdr:row>28</xdr:row>
      <xdr:rowOff>190499</xdr:rowOff>
    </xdr:to>
    <xdr:graphicFrame macro="">
      <xdr:nvGraphicFramePr>
        <xdr:cNvPr id="2" name="차트 1">
          <a:extLst>
            <a:ext uri="{FF2B5EF4-FFF2-40B4-BE49-F238E27FC236}">
              <a16:creationId xmlns:a16="http://schemas.microsoft.com/office/drawing/2014/main" id="{DB8D79B6-BA28-662C-BAD7-6D53C6F12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380131</xdr:colOff>
      <xdr:row>0</xdr:row>
      <xdr:rowOff>323116</xdr:rowOff>
    </xdr:to>
    <xdr:pic>
      <xdr:nvPicPr>
        <xdr:cNvPr id="3" name="그림 2">
          <a:hlinkClick xmlns:r="http://schemas.openxmlformats.org/officeDocument/2006/relationships" r:id="rId2"/>
          <a:extLst>
            <a:ext uri="{FF2B5EF4-FFF2-40B4-BE49-F238E27FC236}">
              <a16:creationId xmlns:a16="http://schemas.microsoft.com/office/drawing/2014/main" id="{476972F3-D359-4FC0-B44A-9B666F3EC2D3}"/>
            </a:ext>
          </a:extLst>
        </xdr:cNvPr>
        <xdr:cNvPicPr>
          <a:picLocks noChangeAspect="1"/>
        </xdr:cNvPicPr>
      </xdr:nvPicPr>
      <xdr:blipFill>
        <a:blip xmlns:r="http://schemas.openxmlformats.org/officeDocument/2006/relationships" r:embed="rId3"/>
        <a:stretch>
          <a:fillRect/>
        </a:stretch>
      </xdr:blipFill>
      <xdr:spPr>
        <a:xfrm>
          <a:off x="0" y="0"/>
          <a:ext cx="1700931" cy="3231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415925</xdr:colOff>
      <xdr:row>18</xdr:row>
      <xdr:rowOff>139700</xdr:rowOff>
    </xdr:from>
    <xdr:to>
      <xdr:col>13</xdr:col>
      <xdr:colOff>352425</xdr:colOff>
      <xdr:row>32</xdr:row>
      <xdr:rowOff>161925</xdr:rowOff>
    </xdr:to>
    <mc:AlternateContent xmlns:mc="http://schemas.openxmlformats.org/markup-compatibility/2006">
      <mc:Choice xmlns:cx1="http://schemas.microsoft.com/office/drawing/2015/9/8/chartex" Requires="cx1">
        <xdr:graphicFrame macro="">
          <xdr:nvGraphicFramePr>
            <xdr:cNvPr id="2" name="차트 1">
              <a:extLst>
                <a:ext uri="{FF2B5EF4-FFF2-40B4-BE49-F238E27FC236}">
                  <a16:creationId xmlns:a16="http://schemas.microsoft.com/office/drawing/2014/main" id="{4448CE1D-6216-5AF7-65F9-523B16F318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3225" y="4038600"/>
              <a:ext cx="5918200" cy="3044825"/>
            </a:xfrm>
            <a:prstGeom prst="rect">
              <a:avLst/>
            </a:prstGeom>
            <a:solidFill>
              <a:prstClr val="white"/>
            </a:solidFill>
            <a:ln w="1">
              <a:solidFill>
                <a:prstClr val="green"/>
              </a:solidFill>
            </a:ln>
          </xdr:spPr>
          <xdr:txBody>
            <a:bodyPr vertOverflow="clip" horzOverflow="clip"/>
            <a:lstStyle/>
            <a:p>
              <a:r>
                <a:rPr lang="ko-KR" altLang="en-US" sz="1100"/>
                <a:t>Excel 버전에서는 이 차트를 사용할 수 없습니다.
이 도형 편집하거나 이 통합 문서를 다른 파일 형식으로 저장하면 차트가 영구적으로 손상됩니다.</a:t>
              </a:r>
            </a:p>
          </xdr:txBody>
        </xdr:sp>
      </mc:Fallback>
    </mc:AlternateContent>
    <xdr:clientData/>
  </xdr:twoCellAnchor>
  <xdr:twoCellAnchor editAs="oneCell">
    <xdr:from>
      <xdr:col>0</xdr:col>
      <xdr:colOff>0</xdr:colOff>
      <xdr:row>0</xdr:row>
      <xdr:rowOff>0</xdr:rowOff>
    </xdr:from>
    <xdr:to>
      <xdr:col>2</xdr:col>
      <xdr:colOff>291231</xdr:colOff>
      <xdr:row>0</xdr:row>
      <xdr:rowOff>323116</xdr:rowOff>
    </xdr:to>
    <xdr:pic>
      <xdr:nvPicPr>
        <xdr:cNvPr id="3" name="그림 2">
          <a:hlinkClick xmlns:r="http://schemas.openxmlformats.org/officeDocument/2006/relationships" r:id="rId2"/>
          <a:extLst>
            <a:ext uri="{FF2B5EF4-FFF2-40B4-BE49-F238E27FC236}">
              <a16:creationId xmlns:a16="http://schemas.microsoft.com/office/drawing/2014/main" id="{027A9416-762A-4FBE-9413-AF7449BF1DCA}"/>
            </a:ext>
          </a:extLst>
        </xdr:cNvPr>
        <xdr:cNvPicPr>
          <a:picLocks noChangeAspect="1"/>
        </xdr:cNvPicPr>
      </xdr:nvPicPr>
      <xdr:blipFill>
        <a:blip xmlns:r="http://schemas.openxmlformats.org/officeDocument/2006/relationships" r:embed="rId3"/>
        <a:stretch>
          <a:fillRect/>
        </a:stretch>
      </xdr:blipFill>
      <xdr:spPr>
        <a:xfrm>
          <a:off x="0" y="0"/>
          <a:ext cx="1700931" cy="32311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628650</xdr:colOff>
      <xdr:row>17</xdr:row>
      <xdr:rowOff>190500</xdr:rowOff>
    </xdr:from>
    <xdr:to>
      <xdr:col>15</xdr:col>
      <xdr:colOff>396875</xdr:colOff>
      <xdr:row>31</xdr:row>
      <xdr:rowOff>133350</xdr:rowOff>
    </xdr:to>
    <xdr:graphicFrame macro="">
      <xdr:nvGraphicFramePr>
        <xdr:cNvPr id="2" name="차트 1">
          <a:extLst>
            <a:ext uri="{FF2B5EF4-FFF2-40B4-BE49-F238E27FC236}">
              <a16:creationId xmlns:a16="http://schemas.microsoft.com/office/drawing/2014/main" id="{8E50B97D-7917-0C1D-05F6-123839734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380131</xdr:colOff>
      <xdr:row>0</xdr:row>
      <xdr:rowOff>323116</xdr:rowOff>
    </xdr:to>
    <xdr:pic>
      <xdr:nvPicPr>
        <xdr:cNvPr id="3" name="그림 2">
          <a:hlinkClick xmlns:r="http://schemas.openxmlformats.org/officeDocument/2006/relationships" r:id="rId2"/>
          <a:extLst>
            <a:ext uri="{FF2B5EF4-FFF2-40B4-BE49-F238E27FC236}">
              <a16:creationId xmlns:a16="http://schemas.microsoft.com/office/drawing/2014/main" id="{939522E4-F342-4479-B0F2-3DB0DCCCC4F4}"/>
            </a:ext>
          </a:extLst>
        </xdr:cNvPr>
        <xdr:cNvPicPr>
          <a:picLocks noChangeAspect="1"/>
        </xdr:cNvPicPr>
      </xdr:nvPicPr>
      <xdr:blipFill>
        <a:blip xmlns:r="http://schemas.openxmlformats.org/officeDocument/2006/relationships" r:embed="rId3"/>
        <a:stretch>
          <a:fillRect/>
        </a:stretch>
      </xdr:blipFill>
      <xdr:spPr>
        <a:xfrm>
          <a:off x="0" y="0"/>
          <a:ext cx="1700931" cy="32311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792881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458EFB53-7D92-47F2-83AD-DF58BEBF1B09}"/>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380131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9AA6736F-7A62-4427-B03E-89BF05AD33A3}"/>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1040531</xdr:colOff>
      <xdr:row>0</xdr:row>
      <xdr:rowOff>323116</xdr:rowOff>
    </xdr:to>
    <xdr:pic>
      <xdr:nvPicPr>
        <xdr:cNvPr id="2" name="그림 1">
          <a:hlinkClick xmlns:r="http://schemas.openxmlformats.org/officeDocument/2006/relationships" r:id="rId1"/>
          <a:extLst>
            <a:ext uri="{FF2B5EF4-FFF2-40B4-BE49-F238E27FC236}">
              <a16:creationId xmlns:a16="http://schemas.microsoft.com/office/drawing/2014/main" id="{F5425DD8-6CA3-4033-B547-363B30DE6AFE}"/>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380131</xdr:colOff>
      <xdr:row>0</xdr:row>
      <xdr:rowOff>323116</xdr:rowOff>
    </xdr:to>
    <xdr:pic>
      <xdr:nvPicPr>
        <xdr:cNvPr id="3" name="그림 2">
          <a:hlinkClick xmlns:r="http://schemas.openxmlformats.org/officeDocument/2006/relationships" r:id="rId1"/>
          <a:extLst>
            <a:ext uri="{FF2B5EF4-FFF2-40B4-BE49-F238E27FC236}">
              <a16:creationId xmlns:a16="http://schemas.microsoft.com/office/drawing/2014/main" id="{DAD6D569-BF0F-4485-A5A3-2F8C77D4FF3E}"/>
            </a:ext>
          </a:extLst>
        </xdr:cNvPr>
        <xdr:cNvPicPr>
          <a:picLocks noChangeAspect="1"/>
        </xdr:cNvPicPr>
      </xdr:nvPicPr>
      <xdr:blipFill>
        <a:blip xmlns:r="http://schemas.openxmlformats.org/officeDocument/2006/relationships" r:embed="rId2"/>
        <a:stretch>
          <a:fillRect/>
        </a:stretch>
      </xdr:blipFill>
      <xdr:spPr>
        <a:xfrm>
          <a:off x="0" y="0"/>
          <a:ext cx="1700931" cy="32311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184150</xdr:colOff>
      <xdr:row>0</xdr:row>
      <xdr:rowOff>0</xdr:rowOff>
    </xdr:from>
    <xdr:to>
      <xdr:col>2</xdr:col>
      <xdr:colOff>30881</xdr:colOff>
      <xdr:row>0</xdr:row>
      <xdr:rowOff>323116</xdr:rowOff>
    </xdr:to>
    <xdr:pic>
      <xdr:nvPicPr>
        <xdr:cNvPr id="3" name="그림 2">
          <a:hlinkClick xmlns:r="http://schemas.openxmlformats.org/officeDocument/2006/relationships" r:id="rId1"/>
          <a:extLst>
            <a:ext uri="{FF2B5EF4-FFF2-40B4-BE49-F238E27FC236}">
              <a16:creationId xmlns:a16="http://schemas.microsoft.com/office/drawing/2014/main" id="{1CF42B39-A020-4489-919B-8D3BB946EE99}"/>
            </a:ext>
          </a:extLst>
        </xdr:cNvPr>
        <xdr:cNvPicPr>
          <a:picLocks noChangeAspect="1"/>
        </xdr:cNvPicPr>
      </xdr:nvPicPr>
      <xdr:blipFill>
        <a:blip xmlns:r="http://schemas.openxmlformats.org/officeDocument/2006/relationships" r:embed="rId2"/>
        <a:stretch>
          <a:fillRect/>
        </a:stretch>
      </xdr:blipFill>
      <xdr:spPr>
        <a:xfrm>
          <a:off x="184150" y="0"/>
          <a:ext cx="1700931" cy="3231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jin shin" refreshedDate="45696.783898263886" createdVersion="8" refreshedVersion="8" minRefreshableVersion="3" recordCount="16" xr:uid="{16E660FA-585D-41DB-BB35-C086BABC976F}">
  <cacheSource type="worksheet">
    <worksheetSource ref="A3:I19" sheet="M2. 데이터집계하기(3)"/>
  </cacheSource>
  <cacheFields count="9">
    <cacheField name="소속학과" numFmtId="49">
      <sharedItems/>
    </cacheField>
    <cacheField name="학년" numFmtId="0">
      <sharedItems containsSemiMixedTypes="0" containsString="0" containsNumber="1" containsInteger="1" minValue="1" maxValue="4"/>
    </cacheField>
    <cacheField name="학번" numFmtId="0">
      <sharedItems containsSemiMixedTypes="0" containsString="0" containsNumber="1" containsInteger="1" minValue="20121274" maxValue="20171170"/>
    </cacheField>
    <cacheField name="성명" numFmtId="49">
      <sharedItems/>
    </cacheField>
    <cacheField name="중간" numFmtId="0">
      <sharedItems containsSemiMixedTypes="0" containsString="0" containsNumber="1" minValue="19.920000000000002" maxValue="93.87"/>
    </cacheField>
    <cacheField name="기말" numFmtId="0">
      <sharedItems containsSemiMixedTypes="0" containsString="0" containsNumber="1" minValue="19.55" maxValue="84.55"/>
    </cacheField>
    <cacheField name="과제" numFmtId="0">
      <sharedItems containsSemiMixedTypes="0" containsString="0" containsNumber="1" minValue="33.33" maxValue="100"/>
    </cacheField>
    <cacheField name="출석" numFmtId="0">
      <sharedItems containsSemiMixedTypes="0" containsString="0" containsNumber="1" minValue="74.44" maxValue="100"/>
    </cacheField>
    <cacheField name="태도" numFmtId="0">
      <sharedItems containsSemiMixedTypes="0" containsString="0" containsNumber="1" containsInteger="1" minValue="50"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jin shin" refreshedDate="45696.938029398145" createdVersion="8" refreshedVersion="8" minRefreshableVersion="3" recordCount="500" xr:uid="{20768FEF-61CC-4449-BF78-EB518B21107E}">
  <cacheSource type="worksheet">
    <worksheetSource ref="A3:J503" sheet="M6. 피벗차트 만들기 튜토리얼(1)"/>
  </cacheSource>
  <cacheFields count="13">
    <cacheField name="고객명" numFmtId="0">
      <sharedItems/>
    </cacheField>
    <cacheField name="제품명" numFmtId="0">
      <sharedItems/>
    </cacheField>
    <cacheField name="카테고리" numFmtId="0">
      <sharedItems count="7">
        <s v="가전"/>
        <s v="오디오"/>
        <s v="컴퓨터"/>
        <s v="생활가전"/>
        <s v="전자제품"/>
        <s v="모바일"/>
        <s v="카메라"/>
      </sharedItems>
    </cacheField>
    <cacheField name="지역" numFmtId="0">
      <sharedItems/>
    </cacheField>
    <cacheField name="매출" numFmtId="0">
      <sharedItems containsSemiMixedTypes="0" containsString="0" containsNumber="1" containsInteger="1" minValue="12736" maxValue="4998864"/>
    </cacheField>
    <cacheField name="판매 수량" numFmtId="0">
      <sharedItems containsSemiMixedTypes="0" containsString="0" containsNumber="1" containsInteger="1" minValue="1" maxValue="100"/>
    </cacheField>
    <cacheField name="단가" numFmtId="0">
      <sharedItems containsSemiMixedTypes="0" containsString="0" containsNumber="1" containsInteger="1" minValue="1416" maxValue="499755"/>
    </cacheField>
    <cacheField name="판매 날짜" numFmtId="14">
      <sharedItems containsSemiMixedTypes="0" containsNonDate="0" containsDate="1" containsString="0" minDate="2022-01-01T00:00:00" maxDate="2024-12-25T00:00:00" count="393">
        <d v="2022-05-03T00:00:00"/>
        <d v="2022-01-08T00:00:00"/>
        <d v="2023-02-11T00:00:00"/>
        <d v="2024-09-02T00:00:00"/>
        <d v="2022-03-09T00:00:00"/>
        <d v="2022-01-11T00:00:00"/>
        <d v="2022-04-15T00:00:00"/>
        <d v="2022-01-12T00:00:00"/>
        <d v="2023-03-15T00:00:00"/>
        <d v="2023-09-26T00:00:00"/>
        <d v="2023-02-17T00:00:00"/>
        <d v="2022-10-14T00:00:00"/>
        <d v="2022-08-16T00:00:00"/>
        <d v="2024-12-20T00:00:00"/>
        <d v="2023-06-18T00:00:00"/>
        <d v="2022-04-07T00:00:00"/>
        <d v="2023-12-22T00:00:00"/>
        <d v="2024-11-04T00:00:00"/>
        <d v="2022-08-01T00:00:00"/>
        <d v="2023-12-04T00:00:00"/>
        <d v="2022-07-02T00:00:00"/>
        <d v="2024-02-08T00:00:00"/>
        <d v="2024-01-04T00:00:00"/>
        <d v="2022-12-09T00:00:00"/>
        <d v="2023-09-12T00:00:00"/>
        <d v="2024-12-21T00:00:00"/>
        <d v="2023-12-27T00:00:00"/>
        <d v="2024-06-04T00:00:00"/>
        <d v="2023-05-27T00:00:00"/>
        <d v="2023-03-26T00:00:00"/>
        <d v="2023-08-11T00:00:00"/>
        <d v="2024-03-07T00:00:00"/>
        <d v="2024-06-08T00:00:00"/>
        <d v="2022-02-23T00:00:00"/>
        <d v="2024-08-28T00:00:00"/>
        <d v="2023-04-12T00:00:00"/>
        <d v="2022-09-12T00:00:00"/>
        <d v="2023-12-06T00:00:00"/>
        <d v="2024-11-06T00:00:00"/>
        <d v="2024-12-13T00:00:00"/>
        <d v="2022-07-26T00:00:00"/>
        <d v="2022-07-24T00:00:00"/>
        <d v="2022-12-05T00:00:00"/>
        <d v="2022-08-08T00:00:00"/>
        <d v="2023-04-17T00:00:00"/>
        <d v="2024-11-19T00:00:00"/>
        <d v="2023-03-22T00:00:00"/>
        <d v="2023-05-07T00:00:00"/>
        <d v="2022-01-03T00:00:00"/>
        <d v="2022-12-13T00:00:00"/>
        <d v="2024-05-05T00:00:00"/>
        <d v="2024-11-09T00:00:00"/>
        <d v="2023-06-03T00:00:00"/>
        <d v="2023-04-20T00:00:00"/>
        <d v="2024-01-02T00:00:00"/>
        <d v="2023-03-27T00:00:00"/>
        <d v="2024-05-27T00:00:00"/>
        <d v="2024-09-04T00:00:00"/>
        <d v="2024-03-16T00:00:00"/>
        <d v="2024-12-12T00:00:00"/>
        <d v="2023-03-01T00:00:00"/>
        <d v="2022-01-21T00:00:00"/>
        <d v="2022-12-02T00:00:00"/>
        <d v="2023-07-19T00:00:00"/>
        <d v="2023-05-02T00:00:00"/>
        <d v="2023-01-13T00:00:00"/>
        <d v="2022-02-05T00:00:00"/>
        <d v="2022-03-04T00:00:00"/>
        <d v="2023-05-14T00:00:00"/>
        <d v="2023-06-05T00:00:00"/>
        <d v="2023-03-17T00:00:00"/>
        <d v="2022-08-03T00:00:00"/>
        <d v="2022-08-07T00:00:00"/>
        <d v="2024-01-24T00:00:00"/>
        <d v="2023-05-06T00:00:00"/>
        <d v="2023-02-15T00:00:00"/>
        <d v="2024-08-19T00:00:00"/>
        <d v="2024-10-08T00:00:00"/>
        <d v="2024-06-11T00:00:00"/>
        <d v="2024-07-13T00:00:00"/>
        <d v="2022-12-14T00:00:00"/>
        <d v="2022-04-01T00:00:00"/>
        <d v="2024-06-15T00:00:00"/>
        <d v="2023-12-03T00:00:00"/>
        <d v="2023-09-02T00:00:00"/>
        <d v="2023-07-26T00:00:00"/>
        <d v="2022-03-24T00:00:00"/>
        <d v="2023-01-01T00:00:00"/>
        <d v="2022-08-26T00:00:00"/>
        <d v="2023-12-18T00:00:00"/>
        <d v="2023-12-19T00:00:00"/>
        <d v="2024-12-24T00:00:00"/>
        <d v="2022-10-03T00:00:00"/>
        <d v="2024-06-23T00:00:00"/>
        <d v="2022-10-07T00:00:00"/>
        <d v="2022-04-21T00:00:00"/>
        <d v="2023-08-02T00:00:00"/>
        <d v="2024-05-26T00:00:00"/>
        <d v="2023-07-25T00:00:00"/>
        <d v="2023-09-21T00:00:00"/>
        <d v="2023-02-24T00:00:00"/>
        <d v="2024-07-08T00:00:00"/>
        <d v="2023-05-10T00:00:00"/>
        <d v="2024-03-03T00:00:00"/>
        <d v="2023-12-26T00:00:00"/>
        <d v="2022-01-10T00:00:00"/>
        <d v="2023-07-24T00:00:00"/>
        <d v="2022-12-16T00:00:00"/>
        <d v="2022-08-25T00:00:00"/>
        <d v="2023-04-11T00:00:00"/>
        <d v="2023-03-19T00:00:00"/>
        <d v="2024-04-12T00:00:00"/>
        <d v="2022-11-27T00:00:00"/>
        <d v="2022-09-24T00:00:00"/>
        <d v="2022-11-23T00:00:00"/>
        <d v="2023-08-23T00:00:00"/>
        <d v="2023-12-11T00:00:00"/>
        <d v="2024-07-03T00:00:00"/>
        <d v="2023-08-19T00:00:00"/>
        <d v="2024-05-17T00:00:00"/>
        <d v="2024-06-02T00:00:00"/>
        <d v="2022-06-04T00:00:00"/>
        <d v="2023-08-14T00:00:00"/>
        <d v="2022-06-03T00:00:00"/>
        <d v="2024-07-22T00:00:00"/>
        <d v="2024-04-22T00:00:00"/>
        <d v="2023-05-19T00:00:00"/>
        <d v="2022-09-03T00:00:00"/>
        <d v="2024-06-20T00:00:00"/>
        <d v="2023-11-20T00:00:00"/>
        <d v="2023-03-20T00:00:00"/>
        <d v="2024-05-07T00:00:00"/>
        <d v="2022-11-03T00:00:00"/>
        <d v="2023-04-24T00:00:00"/>
        <d v="2022-07-16T00:00:00"/>
        <d v="2022-03-20T00:00:00"/>
        <d v="2022-11-05T00:00:00"/>
        <d v="2024-02-20T00:00:00"/>
        <d v="2024-04-28T00:00:00"/>
        <d v="2023-01-02T00:00:00"/>
        <d v="2022-10-09T00:00:00"/>
        <d v="2024-11-25T00:00:00"/>
        <d v="2022-05-15T00:00:00"/>
        <d v="2024-09-22T00:00:00"/>
        <d v="2023-08-27T00:00:00"/>
        <d v="2023-12-07T00:00:00"/>
        <d v="2023-11-12T00:00:00"/>
        <d v="2024-09-15T00:00:00"/>
        <d v="2023-07-06T00:00:00"/>
        <d v="2023-11-03T00:00:00"/>
        <d v="2024-07-07T00:00:00"/>
        <d v="2024-02-19T00:00:00"/>
        <d v="2024-11-08T00:00:00"/>
        <d v="2023-01-07T00:00:00"/>
        <d v="2023-05-17T00:00:00"/>
        <d v="2024-09-14T00:00:00"/>
        <d v="2022-06-20T00:00:00"/>
        <d v="2022-09-13T00:00:00"/>
        <d v="2023-01-15T00:00:00"/>
        <d v="2022-08-11T00:00:00"/>
        <d v="2023-12-12T00:00:00"/>
        <d v="2022-08-19T00:00:00"/>
        <d v="2024-10-01T00:00:00"/>
        <d v="2024-03-13T00:00:00"/>
        <d v="2024-09-24T00:00:00"/>
        <d v="2022-07-20T00:00:00"/>
        <d v="2024-03-09T00:00:00"/>
        <d v="2022-09-15T00:00:00"/>
        <d v="2022-02-26T00:00:00"/>
        <d v="2022-07-15T00:00:00"/>
        <d v="2024-01-10T00:00:00"/>
        <d v="2024-12-15T00:00:00"/>
        <d v="2024-04-15T00:00:00"/>
        <d v="2023-10-20T00:00:00"/>
        <d v="2023-03-02T00:00:00"/>
        <d v="2023-09-10T00:00:00"/>
        <d v="2023-01-19T00:00:00"/>
        <d v="2024-05-12T00:00:00"/>
        <d v="2024-08-08T00:00:00"/>
        <d v="2022-11-14T00:00:00"/>
        <d v="2022-01-18T00:00:00"/>
        <d v="2024-06-13T00:00:00"/>
        <d v="2024-03-17T00:00:00"/>
        <d v="2023-07-08T00:00:00"/>
        <d v="2024-02-10T00:00:00"/>
        <d v="2023-11-18T00:00:00"/>
        <d v="2023-02-01T00:00:00"/>
        <d v="2024-02-04T00:00:00"/>
        <d v="2024-03-19T00:00:00"/>
        <d v="2023-04-09T00:00:00"/>
        <d v="2024-03-25T00:00:00"/>
        <d v="2024-01-17T00:00:00"/>
        <d v="2023-05-18T00:00:00"/>
        <d v="2022-06-22T00:00:00"/>
        <d v="2023-03-09T00:00:00"/>
        <d v="2024-07-10T00:00:00"/>
        <d v="2024-04-09T00:00:00"/>
        <d v="2023-09-27T00:00:00"/>
        <d v="2022-12-20T00:00:00"/>
        <d v="2023-08-09T00:00:00"/>
        <d v="2024-08-21T00:00:00"/>
        <d v="2023-01-27T00:00:00"/>
        <d v="2023-06-11T00:00:00"/>
        <d v="2024-11-18T00:00:00"/>
        <d v="2023-08-04T00:00:00"/>
        <d v="2023-11-26T00:00:00"/>
        <d v="2023-09-19T00:00:00"/>
        <d v="2024-03-02T00:00:00"/>
        <d v="2023-02-04T00:00:00"/>
        <d v="2022-03-12T00:00:00"/>
        <d v="2022-10-28T00:00:00"/>
        <d v="2022-06-05T00:00:00"/>
        <d v="2023-04-05T00:00:00"/>
        <d v="2024-02-09T00:00:00"/>
        <d v="2023-04-04T00:00:00"/>
        <d v="2022-06-25T00:00:00"/>
        <d v="2023-12-09T00:00:00"/>
        <d v="2024-11-23T00:00:00"/>
        <d v="2023-07-17T00:00:00"/>
        <d v="2024-03-27T00:00:00"/>
        <d v="2024-04-24T00:00:00"/>
        <d v="2022-05-26T00:00:00"/>
        <d v="2024-10-20T00:00:00"/>
        <d v="2022-12-11T00:00:00"/>
        <d v="2022-08-14T00:00:00"/>
        <d v="2022-07-22T00:00:00"/>
        <d v="2024-03-20T00:00:00"/>
        <d v="2022-05-24T00:00:00"/>
        <d v="2023-08-22T00:00:00"/>
        <d v="2022-03-26T00:00:00"/>
        <d v="2023-06-01T00:00:00"/>
        <d v="2024-03-06T00:00:00"/>
        <d v="2024-07-23T00:00:00"/>
        <d v="2022-11-09T00:00:00"/>
        <d v="2022-11-20T00:00:00"/>
        <d v="2024-06-12T00:00:00"/>
        <d v="2024-08-17T00:00:00"/>
        <d v="2022-10-16T00:00:00"/>
        <d v="2022-04-28T00:00:00"/>
        <d v="2024-05-06T00:00:00"/>
        <d v="2024-08-11T00:00:00"/>
        <d v="2022-08-23T00:00:00"/>
        <d v="2024-02-27T00:00:00"/>
        <d v="2024-09-26T00:00:00"/>
        <d v="2022-03-22T00:00:00"/>
        <d v="2023-10-06T00:00:00"/>
        <d v="2023-04-21T00:00:00"/>
        <d v="2023-10-17T00:00:00"/>
        <d v="2022-01-24T00:00:00"/>
        <d v="2023-04-10T00:00:00"/>
        <d v="2023-09-20T00:00:00"/>
        <d v="2024-06-28T00:00:00"/>
        <d v="2023-04-25T00:00:00"/>
        <d v="2023-01-10T00:00:00"/>
        <d v="2024-12-22T00:00:00"/>
        <d v="2023-06-14T00:00:00"/>
        <d v="2023-04-08T00:00:00"/>
        <d v="2022-03-15T00:00:00"/>
        <d v="2024-11-10T00:00:00"/>
        <d v="2024-02-06T00:00:00"/>
        <d v="2023-03-07T00:00:00"/>
        <d v="2022-11-15T00:00:00"/>
        <d v="2022-01-27T00:00:00"/>
        <d v="2022-09-18T00:00:00"/>
        <d v="2023-01-05T00:00:00"/>
        <d v="2023-10-18T00:00:00"/>
        <d v="2024-12-06T00:00:00"/>
        <d v="2022-08-02T00:00:00"/>
        <d v="2024-05-13T00:00:00"/>
        <d v="2022-04-20T00:00:00"/>
        <d v="2024-10-25T00:00:00"/>
        <d v="2022-12-17T00:00:00"/>
        <d v="2023-08-08T00:00:00"/>
        <d v="2023-07-28T00:00:00"/>
        <d v="2023-12-01T00:00:00"/>
        <d v="2022-01-05T00:00:00"/>
        <d v="2022-05-12T00:00:00"/>
        <d v="2024-08-09T00:00:00"/>
        <d v="2022-07-11T00:00:00"/>
        <d v="2024-01-27T00:00:00"/>
        <d v="2023-08-10T00:00:00"/>
        <d v="2022-10-10T00:00:00"/>
        <d v="2022-03-18T00:00:00"/>
        <d v="2023-02-19T00:00:00"/>
        <d v="2023-11-10T00:00:00"/>
        <d v="2024-06-07T00:00:00"/>
        <d v="2022-08-04T00:00:00"/>
        <d v="2023-05-24T00:00:00"/>
        <d v="2022-09-09T00:00:00"/>
        <d v="2023-12-14T00:00:00"/>
        <d v="2024-10-06T00:00:00"/>
        <d v="2022-01-02T00:00:00"/>
        <d v="2022-12-10T00:00:00"/>
        <d v="2022-06-28T00:00:00"/>
        <d v="2023-09-05T00:00:00"/>
        <d v="2022-12-21T00:00:00"/>
        <d v="2022-08-13T00:00:00"/>
        <d v="2022-09-26T00:00:00"/>
        <d v="2023-06-21T00:00:00"/>
        <d v="2022-12-04T00:00:00"/>
        <d v="2022-10-15T00:00:00"/>
        <d v="2024-10-11T00:00:00"/>
        <d v="2024-12-11T00:00:00"/>
        <d v="2022-09-10T00:00:00"/>
        <d v="2023-03-04T00:00:00"/>
        <d v="2024-09-03T00:00:00"/>
        <d v="2022-08-20T00:00:00"/>
        <d v="2022-05-10T00:00:00"/>
        <d v="2023-02-22T00:00:00"/>
        <d v="2023-02-28T00:00:00"/>
        <d v="2022-01-23T00:00:00"/>
        <d v="2023-06-02T00:00:00"/>
        <d v="2022-05-05T00:00:00"/>
        <d v="2022-04-10T00:00:00"/>
        <d v="2024-11-22T00:00:00"/>
        <d v="2023-08-06T00:00:00"/>
        <d v="2022-01-17T00:00:00"/>
        <d v="2024-07-24T00:00:00"/>
        <d v="2024-07-06T00:00:00"/>
        <d v="2024-08-10T00:00:00"/>
        <d v="2022-11-01T00:00:00"/>
        <d v="2023-03-24T00:00:00"/>
        <d v="2022-04-18T00:00:00"/>
        <d v="2024-01-03T00:00:00"/>
        <d v="2023-05-03T00:00:00"/>
        <d v="2024-10-05T00:00:00"/>
        <d v="2022-06-12T00:00:00"/>
        <d v="2024-02-18T00:00:00"/>
        <d v="2023-10-01T00:00:00"/>
        <d v="2022-03-03T00:00:00"/>
        <d v="2024-01-01T00:00:00"/>
        <d v="2024-04-26T00:00:00"/>
        <d v="2023-04-03T00:00:00"/>
        <d v="2024-10-23T00:00:00"/>
        <d v="2024-05-09T00:00:00"/>
        <d v="2022-06-10T00:00:00"/>
        <d v="2023-03-14T00:00:00"/>
        <d v="2023-01-25T00:00:00"/>
        <d v="2024-06-01T00:00:00"/>
        <d v="2023-02-08T00:00:00"/>
        <d v="2024-04-10T00:00:00"/>
        <d v="2022-01-09T00:00:00"/>
        <d v="2022-09-20T00:00:00"/>
        <d v="2022-10-22T00:00:00"/>
        <d v="2023-10-04T00:00:00"/>
        <d v="2024-01-05T00:00:00"/>
        <d v="2024-06-10T00:00:00"/>
        <d v="2022-07-01T00:00:00"/>
        <d v="2023-11-07T00:00:00"/>
        <d v="2023-10-26T00:00:00"/>
        <d v="2024-10-07T00:00:00"/>
        <d v="2022-07-12T00:00:00"/>
        <d v="2024-08-20T00:00:00"/>
        <d v="2024-07-01T00:00:00"/>
        <d v="2022-05-02T00:00:00"/>
        <d v="2023-07-27T00:00:00"/>
        <d v="2024-11-17T00:00:00"/>
        <d v="2024-09-06T00:00:00"/>
        <d v="2022-09-27T00:00:00"/>
        <d v="2024-05-20T00:00:00"/>
        <d v="2022-01-01T00:00:00"/>
        <d v="2024-03-23T00:00:00"/>
        <d v="2023-07-23T00:00:00"/>
        <d v="2022-07-18T00:00:00"/>
        <d v="2022-02-04T00:00:00"/>
        <d v="2022-09-22T00:00:00"/>
        <d v="2022-05-09T00:00:00"/>
        <d v="2023-10-02T00:00:00"/>
        <d v="2024-08-02T00:00:00"/>
        <d v="2024-05-18T00:00:00"/>
        <d v="2024-01-12T00:00:00"/>
        <d v="2022-02-18T00:00:00"/>
        <d v="2024-04-16T00:00:00"/>
        <d v="2023-04-18T00:00:00"/>
        <d v="2022-06-19T00:00:00"/>
        <d v="2024-10-03T00:00:00"/>
        <d v="2023-07-12T00:00:00"/>
        <d v="2024-02-26T00:00:00"/>
        <d v="2024-04-25T00:00:00"/>
        <d v="2024-02-01T00:00:00"/>
        <d v="2022-10-19T00:00:00"/>
        <d v="2022-06-17T00:00:00"/>
        <d v="2023-08-12T00:00:00"/>
        <d v="2023-12-02T00:00:00"/>
        <d v="2024-09-09T00:00:00"/>
        <d v="2023-03-21T00:00:00"/>
        <d v="2023-09-04T00:00:00"/>
        <d v="2024-09-11T00:00:00"/>
        <d v="2023-06-13T00:00:00"/>
        <d v="2023-07-15T00:00:00"/>
        <d v="2022-04-16T00:00:00"/>
        <d v="2022-06-02T00:00:00"/>
        <d v="2024-05-21T00:00:00"/>
      </sharedItems>
      <fieldGroup par="12"/>
    </cacheField>
    <cacheField name="할인율" numFmtId="0">
      <sharedItems containsSemiMixedTypes="0" containsString="0" containsNumber="1" minValue="0" maxValue="0.5"/>
    </cacheField>
    <cacheField name="총 매출" numFmtId="0">
      <sharedItems containsSemiMixedTypes="0" containsString="0" containsNumber="1" minValue="23983.05" maxValue="4839702.12"/>
    </cacheField>
    <cacheField name="개월(판매 날짜)" numFmtId="0" databaseField="0">
      <fieldGroup base="7">
        <rangePr groupBy="months" startDate="2022-01-01T00:00:00" endDate="2024-12-25T00:00:00"/>
        <groupItems count="14">
          <s v="&lt;2022-01-01"/>
          <s v="1월"/>
          <s v="2월"/>
          <s v="3월"/>
          <s v="4월"/>
          <s v="5월"/>
          <s v="6월"/>
          <s v="7월"/>
          <s v="8월"/>
          <s v="9월"/>
          <s v="10월"/>
          <s v="11월"/>
          <s v="12월"/>
          <s v="&gt;2024-12-25"/>
        </groupItems>
      </fieldGroup>
    </cacheField>
    <cacheField name="분기(판매 날짜)" numFmtId="0" databaseField="0">
      <fieldGroup base="7">
        <rangePr groupBy="quarters" startDate="2022-01-01T00:00:00" endDate="2024-12-25T00:00:00"/>
        <groupItems count="6">
          <s v="&lt;2022-01-01"/>
          <s v="1사분기"/>
          <s v="2사분기"/>
          <s v="3사분기"/>
          <s v="4사분기"/>
          <s v="&gt;2024-12-25"/>
        </groupItems>
      </fieldGroup>
    </cacheField>
    <cacheField name="년(판매 날짜)" numFmtId="0" databaseField="0">
      <fieldGroup base="7">
        <rangePr groupBy="years" startDate="2022-01-01T00:00:00" endDate="2024-12-25T00:00:00"/>
        <groupItems count="5">
          <s v="&lt;2022-01-01"/>
          <s v="2022년"/>
          <s v="2023년"/>
          <s v="2024년"/>
          <s v="&gt;2024-12-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jin shin" refreshedDate="45696.943486921293" createdVersion="8" refreshedVersion="8" minRefreshableVersion="3" recordCount="25" xr:uid="{829CE7F5-9B0C-488B-B007-945B5CD3BEFD}">
  <cacheSource type="worksheet">
    <worksheetSource ref="A3:E28" sheet="M6. 피벗차트 만들기 튜토리얼(2)"/>
  </cacheSource>
  <cacheFields count="7">
    <cacheField name="거래 ID" numFmtId="14">
      <sharedItems/>
    </cacheField>
    <cacheField name="날짜" numFmtId="14">
      <sharedItems containsSemiMixedTypes="0" containsNonDate="0" containsDate="1" containsString="0" minDate="2022-01-10T00:00:00" maxDate="2022-12-21T00:00:00" count="25">
        <d v="2022-01-10T00:00:00"/>
        <d v="2022-01-15T00:00:00"/>
        <d v="2022-01-20T00:00:00"/>
        <d v="2022-02-05T00:00:00"/>
        <d v="2022-02-12T00:00:00"/>
        <d v="2022-03-01T00:00:00"/>
        <d v="2022-03-10T00:00:00"/>
        <d v="2022-04-05T00:00:00"/>
        <d v="2022-04-15T00:00:00"/>
        <d v="2022-05-01T00:00:00"/>
        <d v="2022-05-15T00:00:00"/>
        <d v="2022-06-01T00:00:00"/>
        <d v="2022-06-15T00:00:00"/>
        <d v="2022-07-01T00:00:00"/>
        <d v="2022-07-20T00:00:00"/>
        <d v="2022-08-05T00:00:00"/>
        <d v="2022-08-15T00:00:00"/>
        <d v="2022-09-10T00:00:00"/>
        <d v="2022-09-20T00:00:00"/>
        <d v="2022-10-01T00:00:00"/>
        <d v="2022-10-15T00:00:00"/>
        <d v="2022-11-05T00:00:00"/>
        <d v="2022-11-20T00:00:00"/>
        <d v="2022-12-01T00:00:00"/>
        <d v="2022-12-20T00:00:00"/>
      </sharedItems>
      <fieldGroup par="6"/>
    </cacheField>
    <cacheField name="거래 유형" numFmtId="14">
      <sharedItems/>
    </cacheField>
    <cacheField name="항목" numFmtId="14">
      <sharedItems/>
    </cacheField>
    <cacheField name="금액 (₩)" numFmtId="177">
      <sharedItems containsSemiMixedTypes="0" containsString="0" containsNumber="1" containsInteger="1" minValue="-4500000" maxValue="9000000"/>
    </cacheField>
    <cacheField name="일(날짜)" numFmtId="0" databaseField="0">
      <fieldGroup base="1">
        <rangePr groupBy="days" startDate="2022-01-10T00:00:00" endDate="2022-12-21T00:00:00"/>
        <groupItems count="368">
          <s v="&lt;2022-01-10"/>
          <s v="1월1일"/>
          <s v="1월2일"/>
          <s v="1월3일"/>
          <s v="1월4일"/>
          <s v="1월5일"/>
          <s v="1월6일"/>
          <s v="1월7일"/>
          <s v="1월8일"/>
          <s v="1월9일"/>
          <s v="1월10일"/>
          <s v="1월11일"/>
          <s v="1월12일"/>
          <s v="1월13일"/>
          <s v="1월14일"/>
          <s v="1월15일"/>
          <s v="1월16일"/>
          <s v="1월17일"/>
          <s v="1월18일"/>
          <s v="1월19일"/>
          <s v="1월20일"/>
          <s v="1월21일"/>
          <s v="1월22일"/>
          <s v="1월23일"/>
          <s v="1월24일"/>
          <s v="1월25일"/>
          <s v="1월26일"/>
          <s v="1월27일"/>
          <s v="1월28일"/>
          <s v="1월29일"/>
          <s v="1월30일"/>
          <s v="1월31일"/>
          <s v="2월1일"/>
          <s v="2월2일"/>
          <s v="2월3일"/>
          <s v="2월4일"/>
          <s v="2월5일"/>
          <s v="2월6일"/>
          <s v="2월7일"/>
          <s v="2월8일"/>
          <s v="2월9일"/>
          <s v="2월10일"/>
          <s v="2월11일"/>
          <s v="2월12일"/>
          <s v="2월13일"/>
          <s v="2월14일"/>
          <s v="2월15일"/>
          <s v="2월16일"/>
          <s v="2월17일"/>
          <s v="2월18일"/>
          <s v="2월19일"/>
          <s v="2월20일"/>
          <s v="2월21일"/>
          <s v="2월22일"/>
          <s v="2월23일"/>
          <s v="2월24일"/>
          <s v="2월25일"/>
          <s v="2월26일"/>
          <s v="2월27일"/>
          <s v="2월28일"/>
          <s v="2월29일"/>
          <s v="3월1일"/>
          <s v="3월2일"/>
          <s v="3월3일"/>
          <s v="3월4일"/>
          <s v="3월5일"/>
          <s v="3월6일"/>
          <s v="3월7일"/>
          <s v="3월8일"/>
          <s v="3월9일"/>
          <s v="3월10일"/>
          <s v="3월11일"/>
          <s v="3월12일"/>
          <s v="3월13일"/>
          <s v="3월14일"/>
          <s v="3월15일"/>
          <s v="3월16일"/>
          <s v="3월17일"/>
          <s v="3월18일"/>
          <s v="3월19일"/>
          <s v="3월20일"/>
          <s v="3월21일"/>
          <s v="3월22일"/>
          <s v="3월23일"/>
          <s v="3월24일"/>
          <s v="3월25일"/>
          <s v="3월26일"/>
          <s v="3월27일"/>
          <s v="3월28일"/>
          <s v="3월29일"/>
          <s v="3월30일"/>
          <s v="3월31일"/>
          <s v="4월1일"/>
          <s v="4월2일"/>
          <s v="4월3일"/>
          <s v="4월4일"/>
          <s v="4월5일"/>
          <s v="4월6일"/>
          <s v="4월7일"/>
          <s v="4월8일"/>
          <s v="4월9일"/>
          <s v="4월10일"/>
          <s v="4월11일"/>
          <s v="4월12일"/>
          <s v="4월13일"/>
          <s v="4월14일"/>
          <s v="4월15일"/>
          <s v="4월16일"/>
          <s v="4월17일"/>
          <s v="4월18일"/>
          <s v="4월19일"/>
          <s v="4월20일"/>
          <s v="4월21일"/>
          <s v="4월22일"/>
          <s v="4월23일"/>
          <s v="4월24일"/>
          <s v="4월25일"/>
          <s v="4월26일"/>
          <s v="4월27일"/>
          <s v="4월28일"/>
          <s v="4월29일"/>
          <s v="4월30일"/>
          <s v="5월1일"/>
          <s v="5월2일"/>
          <s v="5월3일"/>
          <s v="5월4일"/>
          <s v="5월5일"/>
          <s v="5월6일"/>
          <s v="5월7일"/>
          <s v="5월8일"/>
          <s v="5월9일"/>
          <s v="5월10일"/>
          <s v="5월11일"/>
          <s v="5월12일"/>
          <s v="5월13일"/>
          <s v="5월14일"/>
          <s v="5월15일"/>
          <s v="5월16일"/>
          <s v="5월17일"/>
          <s v="5월18일"/>
          <s v="5월19일"/>
          <s v="5월20일"/>
          <s v="5월21일"/>
          <s v="5월22일"/>
          <s v="5월23일"/>
          <s v="5월24일"/>
          <s v="5월25일"/>
          <s v="5월26일"/>
          <s v="5월27일"/>
          <s v="5월28일"/>
          <s v="5월29일"/>
          <s v="5월30일"/>
          <s v="5월31일"/>
          <s v="6월1일"/>
          <s v="6월2일"/>
          <s v="6월3일"/>
          <s v="6월4일"/>
          <s v="6월5일"/>
          <s v="6월6일"/>
          <s v="6월7일"/>
          <s v="6월8일"/>
          <s v="6월9일"/>
          <s v="6월10일"/>
          <s v="6월11일"/>
          <s v="6월12일"/>
          <s v="6월13일"/>
          <s v="6월14일"/>
          <s v="6월15일"/>
          <s v="6월16일"/>
          <s v="6월17일"/>
          <s v="6월18일"/>
          <s v="6월19일"/>
          <s v="6월20일"/>
          <s v="6월21일"/>
          <s v="6월22일"/>
          <s v="6월23일"/>
          <s v="6월24일"/>
          <s v="6월25일"/>
          <s v="6월26일"/>
          <s v="6월27일"/>
          <s v="6월28일"/>
          <s v="6월29일"/>
          <s v="6월30일"/>
          <s v="7월1일"/>
          <s v="7월2일"/>
          <s v="7월3일"/>
          <s v="7월4일"/>
          <s v="7월5일"/>
          <s v="7월6일"/>
          <s v="7월7일"/>
          <s v="7월8일"/>
          <s v="7월9일"/>
          <s v="7월10일"/>
          <s v="7월11일"/>
          <s v="7월12일"/>
          <s v="7월13일"/>
          <s v="7월14일"/>
          <s v="7월15일"/>
          <s v="7월16일"/>
          <s v="7월17일"/>
          <s v="7월18일"/>
          <s v="7월19일"/>
          <s v="7월20일"/>
          <s v="7월21일"/>
          <s v="7월22일"/>
          <s v="7월23일"/>
          <s v="7월24일"/>
          <s v="7월25일"/>
          <s v="7월26일"/>
          <s v="7월27일"/>
          <s v="7월28일"/>
          <s v="7월29일"/>
          <s v="7월30일"/>
          <s v="7월31일"/>
          <s v="8월1일"/>
          <s v="8월2일"/>
          <s v="8월3일"/>
          <s v="8월4일"/>
          <s v="8월5일"/>
          <s v="8월6일"/>
          <s v="8월7일"/>
          <s v="8월8일"/>
          <s v="8월9일"/>
          <s v="8월10일"/>
          <s v="8월11일"/>
          <s v="8월12일"/>
          <s v="8월13일"/>
          <s v="8월14일"/>
          <s v="8월15일"/>
          <s v="8월16일"/>
          <s v="8월17일"/>
          <s v="8월18일"/>
          <s v="8월19일"/>
          <s v="8월20일"/>
          <s v="8월21일"/>
          <s v="8월22일"/>
          <s v="8월23일"/>
          <s v="8월24일"/>
          <s v="8월25일"/>
          <s v="8월26일"/>
          <s v="8월27일"/>
          <s v="8월28일"/>
          <s v="8월29일"/>
          <s v="8월30일"/>
          <s v="8월31일"/>
          <s v="9월1일"/>
          <s v="9월2일"/>
          <s v="9월3일"/>
          <s v="9월4일"/>
          <s v="9월5일"/>
          <s v="9월6일"/>
          <s v="9월7일"/>
          <s v="9월8일"/>
          <s v="9월9일"/>
          <s v="9월10일"/>
          <s v="9월11일"/>
          <s v="9월12일"/>
          <s v="9월13일"/>
          <s v="9월14일"/>
          <s v="9월15일"/>
          <s v="9월16일"/>
          <s v="9월17일"/>
          <s v="9월18일"/>
          <s v="9월19일"/>
          <s v="9월20일"/>
          <s v="9월21일"/>
          <s v="9월22일"/>
          <s v="9월23일"/>
          <s v="9월24일"/>
          <s v="9월25일"/>
          <s v="9월26일"/>
          <s v="9월27일"/>
          <s v="9월28일"/>
          <s v="9월29일"/>
          <s v="9월30일"/>
          <s v="10월1일"/>
          <s v="10월2일"/>
          <s v="10월3일"/>
          <s v="10월4일"/>
          <s v="10월5일"/>
          <s v="10월6일"/>
          <s v="10월7일"/>
          <s v="10월8일"/>
          <s v="10월9일"/>
          <s v="10월10일"/>
          <s v="10월11일"/>
          <s v="10월12일"/>
          <s v="10월13일"/>
          <s v="10월14일"/>
          <s v="10월15일"/>
          <s v="10월16일"/>
          <s v="10월17일"/>
          <s v="10월18일"/>
          <s v="10월19일"/>
          <s v="10월20일"/>
          <s v="10월21일"/>
          <s v="10월22일"/>
          <s v="10월23일"/>
          <s v="10월24일"/>
          <s v="10월25일"/>
          <s v="10월26일"/>
          <s v="10월27일"/>
          <s v="10월28일"/>
          <s v="10월29일"/>
          <s v="10월30일"/>
          <s v="10월31일"/>
          <s v="11월1일"/>
          <s v="11월2일"/>
          <s v="11월3일"/>
          <s v="11월4일"/>
          <s v="11월5일"/>
          <s v="11월6일"/>
          <s v="11월7일"/>
          <s v="11월8일"/>
          <s v="11월9일"/>
          <s v="11월10일"/>
          <s v="11월11일"/>
          <s v="11월12일"/>
          <s v="11월13일"/>
          <s v="11월14일"/>
          <s v="11월15일"/>
          <s v="11월16일"/>
          <s v="11월17일"/>
          <s v="11월18일"/>
          <s v="11월19일"/>
          <s v="11월20일"/>
          <s v="11월21일"/>
          <s v="11월22일"/>
          <s v="11월23일"/>
          <s v="11월24일"/>
          <s v="11월25일"/>
          <s v="11월26일"/>
          <s v="11월27일"/>
          <s v="11월28일"/>
          <s v="11월29일"/>
          <s v="11월30일"/>
          <s v="12월1일"/>
          <s v="12월2일"/>
          <s v="12월3일"/>
          <s v="12월4일"/>
          <s v="12월5일"/>
          <s v="12월6일"/>
          <s v="12월7일"/>
          <s v="12월8일"/>
          <s v="12월9일"/>
          <s v="12월10일"/>
          <s v="12월11일"/>
          <s v="12월12일"/>
          <s v="12월13일"/>
          <s v="12월14일"/>
          <s v="12월15일"/>
          <s v="12월16일"/>
          <s v="12월17일"/>
          <s v="12월18일"/>
          <s v="12월19일"/>
          <s v="12월20일"/>
          <s v="12월21일"/>
          <s v="12월22일"/>
          <s v="12월23일"/>
          <s v="12월24일"/>
          <s v="12월25일"/>
          <s v="12월26일"/>
          <s v="12월27일"/>
          <s v="12월28일"/>
          <s v="12월29일"/>
          <s v="12월30일"/>
          <s v="12월31일"/>
          <s v="&gt;2022-12-21"/>
        </groupItems>
      </fieldGroup>
    </cacheField>
    <cacheField name="개월(날짜)" numFmtId="0" databaseField="0">
      <fieldGroup base="1">
        <rangePr groupBy="months" startDate="2022-01-10T00:00:00" endDate="2022-12-21T00:00:00"/>
        <groupItems count="14">
          <s v="&lt;2022-01-10"/>
          <s v="1월"/>
          <s v="2월"/>
          <s v="3월"/>
          <s v="4월"/>
          <s v="5월"/>
          <s v="6월"/>
          <s v="7월"/>
          <s v="8월"/>
          <s v="9월"/>
          <s v="10월"/>
          <s v="11월"/>
          <s v="12월"/>
          <s v="&gt;2022-12-2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jin shin" refreshedDate="45696.954903703707" createdVersion="8" refreshedVersion="8" minRefreshableVersion="3" recordCount="500" xr:uid="{319F763F-02BF-4E2A-BE32-1AF9418502B0}">
  <cacheSource type="worksheet">
    <worksheetSource ref="A3:J503" sheet="M7. 테이블,차트 데이터분석"/>
  </cacheSource>
  <cacheFields count="10">
    <cacheField name="고객명" numFmtId="0">
      <sharedItems/>
    </cacheField>
    <cacheField name="제품명" numFmtId="0">
      <sharedItems/>
    </cacheField>
    <cacheField name="카테고리" numFmtId="0">
      <sharedItems/>
    </cacheField>
    <cacheField name="지역" numFmtId="0">
      <sharedItems/>
    </cacheField>
    <cacheField name="매출" numFmtId="0">
      <sharedItems containsSemiMixedTypes="0" containsString="0" containsNumber="1" containsInteger="1" minValue="12736" maxValue="4998864"/>
    </cacheField>
    <cacheField name="판매 수량" numFmtId="0">
      <sharedItems containsSemiMixedTypes="0" containsString="0" containsNumber="1" containsInteger="1" minValue="1" maxValue="100"/>
    </cacheField>
    <cacheField name="단가" numFmtId="0">
      <sharedItems containsSemiMixedTypes="0" containsString="0" containsNumber="1" containsInteger="1" minValue="1416" maxValue="499755"/>
    </cacheField>
    <cacheField name="판매 날짜" numFmtId="14">
      <sharedItems containsSemiMixedTypes="0" containsNonDate="0" containsDate="1" containsString="0" minDate="2022-01-01T00:00:00" maxDate="2024-12-25T00:00:00"/>
    </cacheField>
    <cacheField name="할인율" numFmtId="9">
      <sharedItems containsSemiMixedTypes="0" containsString="0" containsNumber="1" minValue="0" maxValue="0.5" count="51">
        <n v="0.13"/>
        <n v="0.03"/>
        <n v="0.15"/>
        <n v="0.01"/>
        <n v="0.41"/>
        <n v="0.32"/>
        <n v="0.18"/>
        <n v="0.17"/>
        <n v="0.34"/>
        <n v="0.14000000000000001"/>
        <n v="0.24"/>
        <n v="0.25"/>
        <n v="0.23"/>
        <n v="0.2"/>
        <n v="0.45"/>
        <n v="0.38"/>
        <n v="0.46"/>
        <n v="0.43"/>
        <n v="0.37"/>
        <n v="0.06"/>
        <n v="0.49"/>
        <n v="0.44"/>
        <n v="0.35"/>
        <n v="0.31"/>
        <n v="0.3"/>
        <n v="0.27"/>
        <n v="0.1"/>
        <n v="0.28000000000000003"/>
        <n v="0.05"/>
        <n v="0.11"/>
        <n v="0.08"/>
        <n v="0.02"/>
        <n v="7.0000000000000007E-2"/>
        <n v="0.4"/>
        <n v="0.5"/>
        <n v="0.26"/>
        <n v="0.09"/>
        <n v="0.12"/>
        <n v="0.36"/>
        <n v="0.16"/>
        <n v="0.47"/>
        <n v="0.48"/>
        <n v="0.21"/>
        <n v="0"/>
        <n v="0.19"/>
        <n v="0.42"/>
        <n v="0.33"/>
        <n v="0.22"/>
        <n v="0.04"/>
        <n v="0.39"/>
        <n v="0.28999999999999998"/>
      </sharedItems>
      <fieldGroup base="8">
        <rangePr startNum="0" endNum="0.5" groupInterval="0.05"/>
        <groupItems count="12">
          <s v="&lt;0"/>
          <s v="0-0.05"/>
          <s v="0.05-0.1"/>
          <s v="0.1-0.15"/>
          <s v="0.15-0.2"/>
          <s v="0.2-0.25"/>
          <s v="0.25-0.3"/>
          <s v="0.3-0.35"/>
          <s v="0.35-0.4"/>
          <s v="0.4-0.45"/>
          <s v="0.45-0.5"/>
          <s v="&gt;0.5"/>
        </groupItems>
      </fieldGroup>
    </cacheField>
    <cacheField name="총 매출" numFmtId="0">
      <sharedItems containsSemiMixedTypes="0" containsString="0" containsNumber="1" minValue="23983.05" maxValue="4839702.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IT과학"/>
    <n v="2"/>
    <n v="20152965"/>
    <s v="이재환"/>
    <n v="52.11"/>
    <n v="46.82"/>
    <n v="44.44"/>
    <n v="83.33"/>
    <n v="50"/>
  </r>
  <r>
    <s v="의류디자인"/>
    <n v="3"/>
    <n v="20161951"/>
    <s v="김기태"/>
    <n v="55.94"/>
    <n v="57.27"/>
    <n v="100"/>
    <n v="95.56"/>
    <n v="100"/>
  </r>
  <r>
    <s v="글로벌경영"/>
    <n v="3"/>
    <n v="20151099"/>
    <s v="배정이"/>
    <n v="59"/>
    <n v="58.18"/>
    <n v="100"/>
    <n v="100"/>
    <n v="100"/>
  </r>
  <r>
    <s v="스포츠건강과학"/>
    <n v="4"/>
    <n v="20121583"/>
    <s v="박도연"/>
    <n v="19.920000000000002"/>
    <n v="32.270000000000003"/>
    <n v="33.33"/>
    <n v="74.44"/>
    <n v="50"/>
  </r>
  <r>
    <s v="IT과학"/>
    <n v="3"/>
    <n v="20165127"/>
    <s v="박주현"/>
    <n v="68.97"/>
    <n v="76.819999999999993"/>
    <n v="100"/>
    <n v="100"/>
    <n v="100"/>
  </r>
  <r>
    <s v="글로벌경영"/>
    <n v="3"/>
    <n v="20165203"/>
    <s v="채예정"/>
    <n v="51.72"/>
    <n v="52.27"/>
    <n v="100"/>
    <n v="94.44"/>
    <n v="100"/>
  </r>
  <r>
    <s v="공공인재"/>
    <n v="4"/>
    <n v="20122189"/>
    <s v="김태훈"/>
    <n v="93.87"/>
    <n v="84.55"/>
    <n v="100"/>
    <n v="100"/>
    <n v="100"/>
  </r>
  <r>
    <s v="외식영양"/>
    <n v="3"/>
    <n v="20141243"/>
    <s v="김민주"/>
    <n v="86.59"/>
    <n v="76.819999999999993"/>
    <n v="100"/>
    <n v="97.78"/>
    <n v="100"/>
  </r>
  <r>
    <s v="외식영양"/>
    <n v="2"/>
    <n v="20153081"/>
    <s v="정승환"/>
    <n v="54.79"/>
    <n v="60.91"/>
    <n v="100"/>
    <n v="90"/>
    <n v="100"/>
  </r>
  <r>
    <s v="공공인재"/>
    <n v="3"/>
    <n v="20141255"/>
    <s v="박준규"/>
    <n v="85.06"/>
    <n v="75"/>
    <n v="100"/>
    <n v="98.89"/>
    <n v="100"/>
  </r>
  <r>
    <s v="가구조형"/>
    <n v="1"/>
    <n v="20142967"/>
    <s v="강성연"/>
    <n v="55.56"/>
    <n v="19.55"/>
    <n v="88.89"/>
    <n v="96.67"/>
    <n v="100"/>
  </r>
  <r>
    <s v="스포츠건강과학"/>
    <n v="3"/>
    <n v="20121418"/>
    <s v="임진규"/>
    <n v="89.27"/>
    <n v="70.91"/>
    <n v="100"/>
    <n v="100"/>
    <n v="100"/>
  </r>
  <r>
    <s v="가구조형"/>
    <n v="1"/>
    <n v="20142986"/>
    <s v="이민형"/>
    <n v="68.58"/>
    <n v="75.45"/>
    <n v="88.89"/>
    <n v="86.67"/>
    <n v="100"/>
  </r>
  <r>
    <s v="에너지그리드"/>
    <n v="1"/>
    <n v="20171170"/>
    <s v="권지원"/>
    <n v="55.94"/>
    <n v="41.36"/>
    <n v="100"/>
    <n v="100"/>
    <n v="100"/>
  </r>
  <r>
    <s v="가구조형"/>
    <n v="4"/>
    <n v="20121274"/>
    <s v="주현진"/>
    <n v="52.11"/>
    <n v="23.64"/>
    <n v="66.67"/>
    <n v="91.11"/>
    <n v="100"/>
  </r>
  <r>
    <s v="에너지그리드"/>
    <n v="3"/>
    <n v="20141284"/>
    <s v="박성호"/>
    <n v="71.260000000000005"/>
    <n v="67.73"/>
    <n v="100"/>
    <n v="98.89"/>
    <n v="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유재석"/>
    <s v="냉장고"/>
    <x v="0"/>
    <s v="서울"/>
    <n v="861211"/>
    <n v="96"/>
    <n v="80611"/>
    <x v="0"/>
    <n v="0.13"/>
    <n v="920333.04"/>
  </r>
  <r>
    <s v="김철수"/>
    <s v="스마트폰"/>
    <x v="0"/>
    <s v="부산"/>
    <n v="1118870"/>
    <n v="59"/>
    <n v="16478"/>
    <x v="1"/>
    <n v="0.03"/>
    <n v="617364.39"/>
  </r>
  <r>
    <s v="정우성"/>
    <s v="전자레인지"/>
    <x v="1"/>
    <s v="부산"/>
    <n v="2156014"/>
    <n v="20"/>
    <n v="117588"/>
    <x v="2"/>
    <n v="0.15"/>
    <n v="795395.52"/>
  </r>
  <r>
    <s v="최준혁"/>
    <s v="냉장고"/>
    <x v="1"/>
    <s v="서울"/>
    <n v="4539351"/>
    <n v="20"/>
    <n v="431168"/>
    <x v="3"/>
    <n v="0.01"/>
    <n v="1276152.46"/>
  </r>
  <r>
    <s v="유재석"/>
    <s v="노트북"/>
    <x v="2"/>
    <s v="전라"/>
    <n v="1050132"/>
    <n v="55"/>
    <n v="50209"/>
    <x v="4"/>
    <n v="0.41"/>
    <n v="3374022.28"/>
  </r>
  <r>
    <s v="유재석"/>
    <s v="스마트워치"/>
    <x v="3"/>
    <s v="부산"/>
    <n v="4805725"/>
    <n v="71"/>
    <n v="2560"/>
    <x v="5"/>
    <n v="0.32"/>
    <n v="1600411.98"/>
  </r>
  <r>
    <s v="이지은"/>
    <s v="노트북"/>
    <x v="4"/>
    <s v="대구"/>
    <n v="2523822"/>
    <n v="35"/>
    <n v="298700"/>
    <x v="6"/>
    <n v="0.18"/>
    <n v="2009741.76"/>
  </r>
  <r>
    <s v="김철수"/>
    <s v="스마트워치"/>
    <x v="2"/>
    <s v="인천"/>
    <n v="603228"/>
    <n v="75"/>
    <n v="168597"/>
    <x v="7"/>
    <n v="0.17"/>
    <n v="541009.43999999994"/>
  </r>
  <r>
    <s v="최준혁"/>
    <s v="헤드폰"/>
    <x v="3"/>
    <s v="충청"/>
    <n v="3920665"/>
    <n v="77"/>
    <n v="333393"/>
    <x v="8"/>
    <n v="0.17"/>
    <n v="1408342.08"/>
  </r>
  <r>
    <s v="송하나"/>
    <s v="냉장고"/>
    <x v="3"/>
    <s v="부산"/>
    <n v="2300862"/>
    <n v="51"/>
    <n v="226845"/>
    <x v="9"/>
    <n v="0.34"/>
    <n v="1752319.2"/>
  </r>
  <r>
    <s v="유재석"/>
    <s v="TV"/>
    <x v="4"/>
    <s v="경기"/>
    <n v="994915"/>
    <n v="52"/>
    <n v="160697"/>
    <x v="10"/>
    <n v="0.14000000000000001"/>
    <n v="210786.71"/>
  </r>
  <r>
    <s v="유재석"/>
    <s v="스마트워치"/>
    <x v="2"/>
    <s v="대전"/>
    <n v="586391"/>
    <n v="76"/>
    <n v="112153"/>
    <x v="11"/>
    <n v="0.24"/>
    <n v="50580"/>
  </r>
  <r>
    <s v="강호동"/>
    <s v="스마트폰"/>
    <x v="5"/>
    <s v="부산"/>
    <n v="2130912"/>
    <n v="25"/>
    <n v="275809"/>
    <x v="12"/>
    <n v="0.25"/>
    <n v="3055064.32"/>
  </r>
  <r>
    <s v="강호동"/>
    <s v="세탁기"/>
    <x v="6"/>
    <s v="광주"/>
    <n v="2713130"/>
    <n v="54"/>
    <n v="243012"/>
    <x v="13"/>
    <n v="0.23"/>
    <n v="2066000.72"/>
  </r>
  <r>
    <s v="이영희"/>
    <s v="세탁기"/>
    <x v="0"/>
    <s v="전라"/>
    <n v="808568"/>
    <n v="24"/>
    <n v="456771"/>
    <x v="14"/>
    <n v="0.2"/>
    <n v="1196733.3999999999"/>
  </r>
  <r>
    <s v="정우성"/>
    <s v="스마트워치"/>
    <x v="1"/>
    <s v="부산"/>
    <n v="3086430"/>
    <n v="22"/>
    <n v="299659"/>
    <x v="15"/>
    <n v="0.45"/>
    <n v="418409.64"/>
  </r>
  <r>
    <s v="송하나"/>
    <s v="카메라"/>
    <x v="0"/>
    <s v="경상"/>
    <n v="4249078"/>
    <n v="18"/>
    <n v="157389"/>
    <x v="16"/>
    <n v="0.38"/>
    <n v="2390881.7999999998"/>
  </r>
  <r>
    <s v="이지은"/>
    <s v="스마트워치"/>
    <x v="0"/>
    <s v="부산"/>
    <n v="1825475"/>
    <n v="36"/>
    <n v="333350"/>
    <x v="17"/>
    <n v="0.46"/>
    <n v="1854706.12"/>
  </r>
  <r>
    <s v="이지은"/>
    <s v="노트북"/>
    <x v="1"/>
    <s v="광주"/>
    <n v="2044411"/>
    <n v="33"/>
    <n v="386112"/>
    <x v="18"/>
    <n v="0.43"/>
    <n v="2312092.7200000002"/>
  </r>
  <r>
    <s v="이지은"/>
    <s v="세탁기"/>
    <x v="5"/>
    <s v="강원"/>
    <n v="2105761"/>
    <n v="64"/>
    <n v="78948"/>
    <x v="19"/>
    <n v="0.17"/>
    <n v="23983.05"/>
  </r>
  <r>
    <s v="송하나"/>
    <s v="헤드폰"/>
    <x v="3"/>
    <s v="인천"/>
    <n v="4897155"/>
    <n v="69"/>
    <n v="318532"/>
    <x v="20"/>
    <n v="0.24"/>
    <n v="1244687.25"/>
  </r>
  <r>
    <s v="송하나"/>
    <s v="노트북"/>
    <x v="0"/>
    <s v="울산"/>
    <n v="3246622"/>
    <n v="70"/>
    <n v="204652"/>
    <x v="21"/>
    <n v="0.17"/>
    <n v="1087602.6000000001"/>
  </r>
  <r>
    <s v="이영희"/>
    <s v="전자레인지"/>
    <x v="3"/>
    <s v="경기"/>
    <n v="1069605"/>
    <n v="39"/>
    <n v="47902"/>
    <x v="22"/>
    <n v="0.37"/>
    <n v="3447808.4"/>
  </r>
  <r>
    <s v="유재석"/>
    <s v="태블릿"/>
    <x v="4"/>
    <s v="서울"/>
    <n v="4561637"/>
    <n v="16"/>
    <n v="91208"/>
    <x v="23"/>
    <n v="0.06"/>
    <n v="1238477.8799999999"/>
  </r>
  <r>
    <s v="이지은"/>
    <s v="TV"/>
    <x v="0"/>
    <s v="경상"/>
    <n v="2749600"/>
    <n v="79"/>
    <n v="331016"/>
    <x v="24"/>
    <n v="0.49"/>
    <n v="353556.63"/>
  </r>
  <r>
    <s v="김철수"/>
    <s v="전자레인지"/>
    <x v="0"/>
    <s v="인천"/>
    <n v="3651270"/>
    <n v="57"/>
    <n v="323644"/>
    <x v="25"/>
    <n v="0.38"/>
    <n v="658268.52"/>
  </r>
  <r>
    <s v="김철수"/>
    <s v="냉장고"/>
    <x v="2"/>
    <s v="충청"/>
    <n v="3961691"/>
    <n v="52"/>
    <n v="266834"/>
    <x v="26"/>
    <n v="0.32"/>
    <n v="1043209.5"/>
  </r>
  <r>
    <s v="김철수"/>
    <s v="노트북"/>
    <x v="0"/>
    <s v="대구"/>
    <n v="1835725"/>
    <n v="67"/>
    <n v="291816"/>
    <x v="27"/>
    <n v="0.43"/>
    <n v="3067831.77"/>
  </r>
  <r>
    <s v="송하나"/>
    <s v="전자레인지"/>
    <x v="5"/>
    <s v="울산"/>
    <n v="3922417"/>
    <n v="79"/>
    <n v="312498"/>
    <x v="28"/>
    <n v="0.44"/>
    <n v="1093755.8999999999"/>
  </r>
  <r>
    <s v="김철수"/>
    <s v="스마트폰"/>
    <x v="4"/>
    <s v="충청"/>
    <n v="4772527"/>
    <n v="15"/>
    <n v="132183"/>
    <x v="29"/>
    <n v="0.44"/>
    <n v="333222.89"/>
  </r>
  <r>
    <s v="이영희"/>
    <s v="노트북"/>
    <x v="6"/>
    <s v="경기"/>
    <n v="4340492"/>
    <n v="48"/>
    <n v="189575"/>
    <x v="30"/>
    <n v="0.01"/>
    <n v="1667168.96"/>
  </r>
  <r>
    <s v="송하나"/>
    <s v="태블릿"/>
    <x v="2"/>
    <s v="경기"/>
    <n v="1910421"/>
    <n v="9"/>
    <n v="34228"/>
    <x v="31"/>
    <n v="0.35"/>
    <n v="1591237.44"/>
  </r>
  <r>
    <s v="이지은"/>
    <s v="스마트폰"/>
    <x v="2"/>
    <s v="강원"/>
    <n v="1201586"/>
    <n v="68"/>
    <n v="59535"/>
    <x v="32"/>
    <n v="0.31"/>
    <n v="2311118.7200000002"/>
  </r>
  <r>
    <s v="정우성"/>
    <s v="스마트폰"/>
    <x v="3"/>
    <s v="대전"/>
    <n v="1125765"/>
    <n v="68"/>
    <n v="175734"/>
    <x v="33"/>
    <n v="0.3"/>
    <n v="2000016.48"/>
  </r>
  <r>
    <s v="김철수"/>
    <s v="스마트워치"/>
    <x v="0"/>
    <s v="부산"/>
    <n v="4530523"/>
    <n v="36"/>
    <n v="38106"/>
    <x v="34"/>
    <n v="0.27"/>
    <n v="2723328.85"/>
  </r>
  <r>
    <s v="한지민"/>
    <s v="냉장고"/>
    <x v="2"/>
    <s v="전라"/>
    <n v="4218622"/>
    <n v="68"/>
    <n v="58595"/>
    <x v="35"/>
    <n v="0.45"/>
    <n v="2498169.4"/>
  </r>
  <r>
    <s v="송하나"/>
    <s v="스마트워치"/>
    <x v="0"/>
    <s v="서울"/>
    <n v="4087798"/>
    <n v="19"/>
    <n v="302910"/>
    <x v="36"/>
    <n v="0.15"/>
    <n v="691933.68"/>
  </r>
  <r>
    <s v="정우성"/>
    <s v="태블릿"/>
    <x v="6"/>
    <s v="경기"/>
    <n v="4541060"/>
    <n v="90"/>
    <n v="186740"/>
    <x v="37"/>
    <n v="0.1"/>
    <n v="2970157.12"/>
  </r>
  <r>
    <s v="김철수"/>
    <s v="태블릿"/>
    <x v="0"/>
    <s v="강원"/>
    <n v="2834665"/>
    <n v="36"/>
    <n v="117715"/>
    <x v="38"/>
    <n v="0.14000000000000001"/>
    <n v="1706114.9"/>
  </r>
  <r>
    <s v="한지민"/>
    <s v="TV"/>
    <x v="0"/>
    <s v="울산"/>
    <n v="1011183"/>
    <n v="4"/>
    <n v="226263"/>
    <x v="39"/>
    <n v="0.28000000000000003"/>
    <n v="1951570.4"/>
  </r>
  <r>
    <s v="최준혁"/>
    <s v="TV"/>
    <x v="6"/>
    <s v="부산"/>
    <n v="3698239"/>
    <n v="88"/>
    <n v="473654"/>
    <x v="40"/>
    <n v="0.28000000000000003"/>
    <n v="3642141.72"/>
  </r>
  <r>
    <s v="박민수"/>
    <s v="전자레인지"/>
    <x v="0"/>
    <s v="충청"/>
    <n v="2627265"/>
    <n v="94"/>
    <n v="132037"/>
    <x v="41"/>
    <n v="0.2"/>
    <n v="2440073.6800000002"/>
  </r>
  <r>
    <s v="김철수"/>
    <s v="노트북"/>
    <x v="5"/>
    <s v="광주"/>
    <n v="4895055"/>
    <n v="8"/>
    <n v="166734"/>
    <x v="42"/>
    <n v="0.05"/>
    <n v="1294133.51"/>
  </r>
  <r>
    <s v="정우성"/>
    <s v="냉장고"/>
    <x v="4"/>
    <s v="전라"/>
    <n v="632679"/>
    <n v="12"/>
    <n v="495313"/>
    <x v="43"/>
    <n v="0.11"/>
    <n v="2779206.97"/>
  </r>
  <r>
    <s v="이지은"/>
    <s v="스마트워치"/>
    <x v="3"/>
    <s v="경기"/>
    <n v="3168502"/>
    <n v="50"/>
    <n v="425082"/>
    <x v="44"/>
    <n v="0.28000000000000003"/>
    <n v="2451117.5099999998"/>
  </r>
  <r>
    <s v="유재석"/>
    <s v="카메라"/>
    <x v="0"/>
    <s v="광주"/>
    <n v="2043711"/>
    <n v="98"/>
    <n v="59932"/>
    <x v="45"/>
    <n v="0.31"/>
    <n v="572404.44999999995"/>
  </r>
  <r>
    <s v="강호동"/>
    <s v="태블릿"/>
    <x v="5"/>
    <s v="울산"/>
    <n v="263042"/>
    <n v="35"/>
    <n v="187740"/>
    <x v="46"/>
    <n v="0.31"/>
    <n v="4265399.5999999996"/>
  </r>
  <r>
    <s v="강호동"/>
    <s v="스마트폰"/>
    <x v="3"/>
    <s v="경기"/>
    <n v="3237190"/>
    <n v="61"/>
    <n v="397151"/>
    <x v="47"/>
    <n v="0.01"/>
    <n v="455937.21"/>
  </r>
  <r>
    <s v="송하나"/>
    <s v="TV"/>
    <x v="1"/>
    <s v="충청"/>
    <n v="322971"/>
    <n v="22"/>
    <n v="296623"/>
    <x v="48"/>
    <n v="0.49"/>
    <n v="792440.04"/>
  </r>
  <r>
    <s v="유재석"/>
    <s v="스마트폰"/>
    <x v="1"/>
    <s v="대전"/>
    <n v="398263"/>
    <n v="17"/>
    <n v="175223"/>
    <x v="49"/>
    <n v="0.08"/>
    <n v="3367811.52"/>
  </r>
  <r>
    <s v="김철수"/>
    <s v="스마트워치"/>
    <x v="4"/>
    <s v="광주"/>
    <n v="2815940"/>
    <n v="76"/>
    <n v="496631"/>
    <x v="50"/>
    <n v="0.49"/>
    <n v="486623.19"/>
  </r>
  <r>
    <s v="정우성"/>
    <s v="전자레인지"/>
    <x v="1"/>
    <s v="인천"/>
    <n v="3062185"/>
    <n v="77"/>
    <n v="168392"/>
    <x v="51"/>
    <n v="0.02"/>
    <n v="3008686.35"/>
  </r>
  <r>
    <s v="이지은"/>
    <s v="TV"/>
    <x v="5"/>
    <s v="경기"/>
    <n v="2696142"/>
    <n v="25"/>
    <n v="377050"/>
    <x v="52"/>
    <n v="0.31"/>
    <n v="4499549.67"/>
  </r>
  <r>
    <s v="박민수"/>
    <s v="스마트폰"/>
    <x v="6"/>
    <s v="경상"/>
    <n v="3976701"/>
    <n v="94"/>
    <n v="304628"/>
    <x v="53"/>
    <n v="0.1"/>
    <n v="34202.559999999998"/>
  </r>
  <r>
    <s v="이지은"/>
    <s v="스마트폰"/>
    <x v="6"/>
    <s v="경상"/>
    <n v="1251490"/>
    <n v="63"/>
    <n v="244952"/>
    <x v="54"/>
    <n v="7.0000000000000007E-2"/>
    <n v="2841143.8"/>
  </r>
  <r>
    <s v="이지은"/>
    <s v="스마트폰"/>
    <x v="4"/>
    <s v="강원"/>
    <n v="3186092"/>
    <n v="28"/>
    <n v="45883"/>
    <x v="55"/>
    <n v="7.0000000000000007E-2"/>
    <n v="1597649.48"/>
  </r>
  <r>
    <s v="정우성"/>
    <s v="냉장고"/>
    <x v="0"/>
    <s v="제주"/>
    <n v="1129378"/>
    <n v="24"/>
    <n v="443033"/>
    <x v="56"/>
    <n v="0.46"/>
    <n v="48775.23"/>
  </r>
  <r>
    <s v="이지은"/>
    <s v="태블릿"/>
    <x v="5"/>
    <s v="전라"/>
    <n v="988504"/>
    <n v="26"/>
    <n v="46086"/>
    <x v="57"/>
    <n v="0.46"/>
    <n v="475885.59"/>
  </r>
  <r>
    <s v="정우성"/>
    <s v="태블릿"/>
    <x v="5"/>
    <s v="경상"/>
    <n v="578200"/>
    <n v="51"/>
    <n v="331728"/>
    <x v="58"/>
    <n v="0.32"/>
    <n v="1847979.09"/>
  </r>
  <r>
    <s v="정우성"/>
    <s v="스마트폰"/>
    <x v="5"/>
    <s v="전라"/>
    <n v="1172745"/>
    <n v="72"/>
    <n v="254002"/>
    <x v="59"/>
    <n v="0.31"/>
    <n v="1616827.5"/>
  </r>
  <r>
    <s v="송하나"/>
    <s v="카메라"/>
    <x v="4"/>
    <s v="경기"/>
    <n v="1613636"/>
    <n v="15"/>
    <n v="67291"/>
    <x v="60"/>
    <n v="0.31"/>
    <n v="102538.6"/>
  </r>
  <r>
    <s v="유재석"/>
    <s v="TV"/>
    <x v="6"/>
    <s v="전라"/>
    <n v="3596489"/>
    <n v="1"/>
    <n v="421821"/>
    <x v="61"/>
    <n v="0.4"/>
    <n v="4160082.24"/>
  </r>
  <r>
    <s v="한지민"/>
    <s v="스마트폰"/>
    <x v="3"/>
    <s v="부산"/>
    <n v="3770161"/>
    <n v="11"/>
    <n v="11277"/>
    <x v="62"/>
    <n v="0.2"/>
    <n v="782422.74"/>
  </r>
  <r>
    <s v="김철수"/>
    <s v="태블릿"/>
    <x v="1"/>
    <s v="충청"/>
    <n v="4254971"/>
    <n v="25"/>
    <n v="299812"/>
    <x v="63"/>
    <n v="0.5"/>
    <n v="956425.68"/>
  </r>
  <r>
    <s v="박민수"/>
    <s v="전자레인지"/>
    <x v="3"/>
    <s v="대구"/>
    <n v="4649520"/>
    <n v="83"/>
    <n v="272237"/>
    <x v="64"/>
    <n v="0.3"/>
    <n v="1935015.38"/>
  </r>
  <r>
    <s v="최준혁"/>
    <s v="태블릿"/>
    <x v="4"/>
    <s v="서울"/>
    <n v="2620750"/>
    <n v="72"/>
    <n v="164861"/>
    <x v="14"/>
    <n v="0.32"/>
    <n v="710669.7"/>
  </r>
  <r>
    <s v="정우성"/>
    <s v="태블릿"/>
    <x v="1"/>
    <s v="대구"/>
    <n v="365784"/>
    <n v="28"/>
    <n v="440972"/>
    <x v="65"/>
    <n v="0.26"/>
    <n v="2429316.83"/>
  </r>
  <r>
    <s v="강호동"/>
    <s v="스마트폰"/>
    <x v="6"/>
    <s v="부산"/>
    <n v="4464547"/>
    <n v="71"/>
    <n v="139218"/>
    <x v="66"/>
    <n v="0.24"/>
    <n v="400177.12"/>
  </r>
  <r>
    <s v="이지은"/>
    <s v="스마트워치"/>
    <x v="4"/>
    <s v="광주"/>
    <n v="3759110"/>
    <n v="29"/>
    <n v="406006"/>
    <x v="67"/>
    <n v="0.09"/>
    <n v="1571627.4"/>
  </r>
  <r>
    <s v="박민수"/>
    <s v="TV"/>
    <x v="5"/>
    <s v="경상"/>
    <n v="3421190"/>
    <n v="99"/>
    <n v="337959"/>
    <x v="68"/>
    <n v="0.4"/>
    <n v="375753.3"/>
  </r>
  <r>
    <s v="최준혁"/>
    <s v="노트북"/>
    <x v="1"/>
    <s v="경기"/>
    <n v="778844"/>
    <n v="20"/>
    <n v="261258"/>
    <x v="69"/>
    <n v="0.25"/>
    <n v="58056.959999999999"/>
  </r>
  <r>
    <s v="정우성"/>
    <s v="세탁기"/>
    <x v="2"/>
    <s v="대전"/>
    <n v="4071886"/>
    <n v="1"/>
    <n v="335716"/>
    <x v="70"/>
    <n v="0.49"/>
    <n v="2616466.3199999998"/>
  </r>
  <r>
    <s v="김철수"/>
    <s v="TV"/>
    <x v="4"/>
    <s v="서울"/>
    <n v="3655037"/>
    <n v="91"/>
    <n v="392328"/>
    <x v="41"/>
    <n v="0.03"/>
    <n v="411964.5"/>
  </r>
  <r>
    <s v="김철수"/>
    <s v="태블릿"/>
    <x v="0"/>
    <s v="부산"/>
    <n v="1796125"/>
    <n v="13"/>
    <n v="120252"/>
    <x v="71"/>
    <n v="0.12"/>
    <n v="1619665.6"/>
  </r>
  <r>
    <s v="강호동"/>
    <s v="세탁기"/>
    <x v="2"/>
    <s v="광주"/>
    <n v="566517"/>
    <n v="78"/>
    <n v="246116"/>
    <x v="72"/>
    <n v="0.36"/>
    <n v="3817469.88"/>
  </r>
  <r>
    <s v="박민수"/>
    <s v="세탁기"/>
    <x v="0"/>
    <s v="대전"/>
    <n v="690186"/>
    <n v="38"/>
    <n v="63419"/>
    <x v="73"/>
    <n v="0.43"/>
    <n v="3625446.3"/>
  </r>
  <r>
    <s v="한지민"/>
    <s v="헤드폰"/>
    <x v="6"/>
    <s v="서울"/>
    <n v="972323"/>
    <n v="68"/>
    <n v="317047"/>
    <x v="74"/>
    <n v="0.13"/>
    <n v="2990870.62"/>
  </r>
  <r>
    <s v="최준혁"/>
    <s v="노트북"/>
    <x v="4"/>
    <s v="광주"/>
    <n v="1781254"/>
    <n v="34"/>
    <n v="322583"/>
    <x v="75"/>
    <n v="0.08"/>
    <n v="2774457.42"/>
  </r>
  <r>
    <s v="이지은"/>
    <s v="노트북"/>
    <x v="3"/>
    <s v="경상"/>
    <n v="3336894"/>
    <n v="89"/>
    <n v="440289"/>
    <x v="76"/>
    <n v="0.03"/>
    <n v="1873492.8"/>
  </r>
  <r>
    <s v="강호동"/>
    <s v="노트북"/>
    <x v="4"/>
    <s v="대구"/>
    <n v="4228397"/>
    <n v="53"/>
    <n v="450365"/>
    <x v="77"/>
    <n v="0.3"/>
    <n v="1220364.72"/>
  </r>
  <r>
    <s v="최준혁"/>
    <s v="헤드폰"/>
    <x v="0"/>
    <s v="부산"/>
    <n v="877360"/>
    <n v="75"/>
    <n v="135865"/>
    <x v="78"/>
    <n v="0.44"/>
    <n v="1985937.6"/>
  </r>
  <r>
    <s v="이영희"/>
    <s v="헤드폰"/>
    <x v="5"/>
    <s v="인천"/>
    <n v="1539286"/>
    <n v="41"/>
    <n v="338461"/>
    <x v="79"/>
    <n v="0.16"/>
    <n v="2989123.28"/>
  </r>
  <r>
    <s v="송하나"/>
    <s v="스마트워치"/>
    <x v="5"/>
    <s v="부산"/>
    <n v="1159008"/>
    <n v="13"/>
    <n v="251422"/>
    <x v="80"/>
    <n v="0.13"/>
    <n v="3997411.97"/>
  </r>
  <r>
    <s v="강호동"/>
    <s v="헤드폰"/>
    <x v="4"/>
    <s v="인천"/>
    <n v="3109010"/>
    <n v="67"/>
    <n v="473748"/>
    <x v="81"/>
    <n v="0.43"/>
    <n v="170476.79999999999"/>
  </r>
  <r>
    <s v="강호동"/>
    <s v="스마트워치"/>
    <x v="1"/>
    <s v="경상"/>
    <n v="1654268"/>
    <n v="15"/>
    <n v="167622"/>
    <x v="18"/>
    <n v="0.47"/>
    <n v="4069851.12"/>
  </r>
  <r>
    <s v="최준혁"/>
    <s v="카메라"/>
    <x v="0"/>
    <s v="경기"/>
    <n v="1581278"/>
    <n v="19"/>
    <n v="170642"/>
    <x v="82"/>
    <n v="0.28000000000000003"/>
    <n v="3125850.26"/>
  </r>
  <r>
    <s v="김철수"/>
    <s v="TV"/>
    <x v="3"/>
    <s v="전라"/>
    <n v="1467294"/>
    <n v="38"/>
    <n v="406333"/>
    <x v="83"/>
    <n v="0.49"/>
    <n v="1235527.02"/>
  </r>
  <r>
    <s v="이영희"/>
    <s v="TV"/>
    <x v="0"/>
    <s v="전라"/>
    <n v="1325168"/>
    <n v="57"/>
    <n v="106344"/>
    <x v="84"/>
    <n v="0.18"/>
    <n v="386076.8"/>
  </r>
  <r>
    <s v="최준혁"/>
    <s v="카메라"/>
    <x v="5"/>
    <s v="강원"/>
    <n v="1182592"/>
    <n v="7"/>
    <n v="338608"/>
    <x v="85"/>
    <n v="0.48"/>
    <n v="1538256.35"/>
  </r>
  <r>
    <s v="이지은"/>
    <s v="TV"/>
    <x v="2"/>
    <s v="대전"/>
    <n v="2968505"/>
    <n v="75"/>
    <n v="215862"/>
    <x v="86"/>
    <n v="0.21"/>
    <n v="3546849.67"/>
  </r>
  <r>
    <s v="한지민"/>
    <s v="스마트폰"/>
    <x v="5"/>
    <s v="경상"/>
    <n v="3615204"/>
    <n v="14"/>
    <n v="205768"/>
    <x v="87"/>
    <n v="0.28000000000000003"/>
    <n v="2768400.37"/>
  </r>
  <r>
    <s v="최준혁"/>
    <s v="스마트워치"/>
    <x v="0"/>
    <s v="충청"/>
    <n v="958396"/>
    <n v="24"/>
    <n v="397863"/>
    <x v="88"/>
    <n v="0.24"/>
    <n v="2119900.9"/>
  </r>
  <r>
    <s v="이지은"/>
    <s v="냉장고"/>
    <x v="4"/>
    <s v="부산"/>
    <n v="4519052"/>
    <n v="68"/>
    <n v="217177"/>
    <x v="89"/>
    <n v="0.01"/>
    <n v="3030934.76"/>
  </r>
  <r>
    <s v="한지민"/>
    <s v="노트북"/>
    <x v="3"/>
    <s v="경상"/>
    <n v="3566024"/>
    <n v="81"/>
    <n v="165728"/>
    <x v="90"/>
    <n v="0.32"/>
    <n v="3270681.6"/>
  </r>
  <r>
    <s v="이지은"/>
    <s v="스마트폰"/>
    <x v="5"/>
    <s v="인천"/>
    <n v="4322273"/>
    <n v="4"/>
    <n v="60152"/>
    <x v="91"/>
    <n v="0.18"/>
    <n v="634198.41"/>
  </r>
  <r>
    <s v="강호동"/>
    <s v="전자레인지"/>
    <x v="0"/>
    <s v="대전"/>
    <n v="493679"/>
    <n v="30"/>
    <n v="187267"/>
    <x v="92"/>
    <n v="0"/>
    <n v="105230.84"/>
  </r>
  <r>
    <s v="이지은"/>
    <s v="스마트워치"/>
    <x v="2"/>
    <s v="제주"/>
    <n v="1221531"/>
    <n v="50"/>
    <n v="487114"/>
    <x v="93"/>
    <n v="0.24"/>
    <n v="2698858.8"/>
  </r>
  <r>
    <s v="유재석"/>
    <s v="세탁기"/>
    <x v="6"/>
    <s v="서울"/>
    <n v="3138281"/>
    <n v="93"/>
    <n v="28850"/>
    <x v="38"/>
    <n v="0.19"/>
    <n v="2972871"/>
  </r>
  <r>
    <s v="송하나"/>
    <s v="헤드폰"/>
    <x v="0"/>
    <s v="강원"/>
    <n v="74333"/>
    <n v="30"/>
    <n v="486721"/>
    <x v="94"/>
    <n v="0.28000000000000003"/>
    <n v="35213.97"/>
  </r>
  <r>
    <s v="한지민"/>
    <s v="노트북"/>
    <x v="1"/>
    <s v="전라"/>
    <n v="3978451"/>
    <n v="79"/>
    <n v="159346"/>
    <x v="95"/>
    <n v="0.3"/>
    <n v="682870.64"/>
  </r>
  <r>
    <s v="김철수"/>
    <s v="스마트폰"/>
    <x v="1"/>
    <s v="대전"/>
    <n v="4644729"/>
    <n v="47"/>
    <n v="457492"/>
    <x v="96"/>
    <n v="0.43"/>
    <n v="4081953.28"/>
  </r>
  <r>
    <s v="유재석"/>
    <s v="전자레인지"/>
    <x v="0"/>
    <s v="제주"/>
    <n v="3812210"/>
    <n v="45"/>
    <n v="209617"/>
    <x v="97"/>
    <n v="0.42"/>
    <n v="1276492.1399999999"/>
  </r>
  <r>
    <s v="이영희"/>
    <s v="태블릿"/>
    <x v="5"/>
    <s v="전라"/>
    <n v="2750381"/>
    <n v="22"/>
    <n v="266144"/>
    <x v="98"/>
    <n v="0"/>
    <n v="977644.5"/>
  </r>
  <r>
    <s v="이지은"/>
    <s v="냉장고"/>
    <x v="3"/>
    <s v="부산"/>
    <n v="2105352"/>
    <n v="56"/>
    <n v="310682"/>
    <x v="99"/>
    <n v="0.35"/>
    <n v="3642903.2"/>
  </r>
  <r>
    <s v="정우성"/>
    <s v="카메라"/>
    <x v="0"/>
    <s v="서울"/>
    <n v="4873816"/>
    <n v="38"/>
    <n v="262529"/>
    <x v="100"/>
    <n v="0.02"/>
    <n v="592894.07999999996"/>
  </r>
  <r>
    <s v="이지은"/>
    <s v="전자레인지"/>
    <x v="0"/>
    <s v="서울"/>
    <n v="1215514"/>
    <n v="20"/>
    <n v="252071"/>
    <x v="101"/>
    <n v="0.2"/>
    <n v="374536.6"/>
  </r>
  <r>
    <s v="김철수"/>
    <s v="카메라"/>
    <x v="2"/>
    <s v="광주"/>
    <n v="1795974"/>
    <n v="64"/>
    <n v="228714"/>
    <x v="102"/>
    <n v="0.33"/>
    <n v="2678467.96"/>
  </r>
  <r>
    <s v="송하나"/>
    <s v="스마트워치"/>
    <x v="5"/>
    <s v="인천"/>
    <n v="77392"/>
    <n v="26"/>
    <n v="88814"/>
    <x v="103"/>
    <n v="0.08"/>
    <n v="2421988.08"/>
  </r>
  <r>
    <s v="강호동"/>
    <s v="노트북"/>
    <x v="5"/>
    <s v="서울"/>
    <n v="3434355"/>
    <n v="80"/>
    <n v="400013"/>
    <x v="104"/>
    <n v="0.12"/>
    <n v="3267829.64"/>
  </r>
  <r>
    <s v="강호동"/>
    <s v="냉장고"/>
    <x v="3"/>
    <s v="강원"/>
    <n v="745371"/>
    <n v="19"/>
    <n v="288349"/>
    <x v="105"/>
    <n v="0.15"/>
    <n v="2681568.89"/>
  </r>
  <r>
    <s v="이지은"/>
    <s v="카메라"/>
    <x v="0"/>
    <s v="부산"/>
    <n v="4712492"/>
    <n v="98"/>
    <n v="127139"/>
    <x v="106"/>
    <n v="0.02"/>
    <n v="2247974.5499999998"/>
  </r>
  <r>
    <s v="한지민"/>
    <s v="노트북"/>
    <x v="1"/>
    <s v="울산"/>
    <n v="2664981"/>
    <n v="71"/>
    <n v="149739"/>
    <x v="107"/>
    <n v="0.49"/>
    <n v="1631892.64"/>
  </r>
  <r>
    <s v="이지은"/>
    <s v="카메라"/>
    <x v="0"/>
    <s v="인천"/>
    <n v="3122003"/>
    <n v="17"/>
    <n v="400034"/>
    <x v="104"/>
    <n v="0.12"/>
    <n v="2045858.4"/>
  </r>
  <r>
    <s v="정우성"/>
    <s v="스마트폰"/>
    <x v="2"/>
    <s v="부산"/>
    <n v="260262"/>
    <n v="51"/>
    <n v="144946"/>
    <x v="108"/>
    <n v="0.21"/>
    <n v="1721915.01"/>
  </r>
  <r>
    <s v="이지은"/>
    <s v="세탁기"/>
    <x v="4"/>
    <s v="울산"/>
    <n v="2121979"/>
    <n v="96"/>
    <n v="328454"/>
    <x v="109"/>
    <n v="0.18"/>
    <n v="3286112.25"/>
  </r>
  <r>
    <s v="이영희"/>
    <s v="세탁기"/>
    <x v="4"/>
    <s v="경기"/>
    <n v="3526631"/>
    <n v="12"/>
    <n v="149621"/>
    <x v="110"/>
    <n v="0.46"/>
    <n v="836355.52"/>
  </r>
  <r>
    <s v="박민수"/>
    <s v="스마트폰"/>
    <x v="0"/>
    <s v="충청"/>
    <n v="502106"/>
    <n v="67"/>
    <n v="478238"/>
    <x v="111"/>
    <n v="0.1"/>
    <n v="3390879.44"/>
  </r>
  <r>
    <s v="박민수"/>
    <s v="TV"/>
    <x v="1"/>
    <s v="광주"/>
    <n v="696108"/>
    <n v="32"/>
    <n v="245981"/>
    <x v="112"/>
    <n v="0.45"/>
    <n v="523431.48"/>
  </r>
  <r>
    <s v="송하나"/>
    <s v="냉장고"/>
    <x v="6"/>
    <s v="광주"/>
    <n v="3345080"/>
    <n v="14"/>
    <n v="418941"/>
    <x v="15"/>
    <n v="0.09"/>
    <n v="1128779.19"/>
  </r>
  <r>
    <s v="정우성"/>
    <s v="헤드폰"/>
    <x v="3"/>
    <s v="부산"/>
    <n v="529073"/>
    <n v="19"/>
    <n v="109976"/>
    <x v="113"/>
    <n v="0.22"/>
    <n v="2030730.72"/>
  </r>
  <r>
    <s v="이지은"/>
    <s v="카메라"/>
    <x v="4"/>
    <s v="경기"/>
    <n v="1550270"/>
    <n v="41"/>
    <n v="267599"/>
    <x v="14"/>
    <n v="0.24"/>
    <n v="651459.71"/>
  </r>
  <r>
    <s v="이영희"/>
    <s v="노트북"/>
    <x v="4"/>
    <s v="대구"/>
    <n v="781096"/>
    <n v="19"/>
    <n v="454613"/>
    <x v="114"/>
    <n v="0.08"/>
    <n v="1683155.9"/>
  </r>
  <r>
    <s v="박민수"/>
    <s v="카메라"/>
    <x v="0"/>
    <s v="전라"/>
    <n v="3132759"/>
    <n v="61"/>
    <n v="300429"/>
    <x v="29"/>
    <n v="0.11"/>
    <n v="299746.89"/>
  </r>
  <r>
    <s v="강호동"/>
    <s v="스마트폰"/>
    <x v="4"/>
    <s v="인천"/>
    <n v="90159"/>
    <n v="88"/>
    <n v="19683"/>
    <x v="115"/>
    <n v="0.19"/>
    <n v="1683216.75"/>
  </r>
  <r>
    <s v="김철수"/>
    <s v="노트북"/>
    <x v="1"/>
    <s v="경상"/>
    <n v="145960"/>
    <n v="88"/>
    <n v="250086"/>
    <x v="33"/>
    <n v="0.27"/>
    <n v="385261.5"/>
  </r>
  <r>
    <s v="박민수"/>
    <s v="냉장고"/>
    <x v="3"/>
    <s v="광주"/>
    <n v="3517653"/>
    <n v="97"/>
    <n v="81843"/>
    <x v="116"/>
    <n v="0.3"/>
    <n v="1012924.26"/>
  </r>
  <r>
    <s v="박민수"/>
    <s v="카메라"/>
    <x v="0"/>
    <s v="강원"/>
    <n v="3370983"/>
    <n v="81"/>
    <n v="408996"/>
    <x v="117"/>
    <n v="0.1"/>
    <n v="2758014.78"/>
  </r>
  <r>
    <s v="박민수"/>
    <s v="TV"/>
    <x v="2"/>
    <s v="대구"/>
    <n v="4625373"/>
    <n v="3"/>
    <n v="286271"/>
    <x v="118"/>
    <n v="0.5"/>
    <n v="3970228.6"/>
  </r>
  <r>
    <s v="이지은"/>
    <s v="전자레인지"/>
    <x v="2"/>
    <s v="전라"/>
    <n v="914322"/>
    <n v="54"/>
    <n v="124157"/>
    <x v="119"/>
    <n v="0.47"/>
    <n v="2345367.5699999998"/>
  </r>
  <r>
    <s v="박민수"/>
    <s v="냉장고"/>
    <x v="5"/>
    <s v="제주"/>
    <n v="746507"/>
    <n v="95"/>
    <n v="435022"/>
    <x v="120"/>
    <n v="0.34"/>
    <n v="4335462.04"/>
  </r>
  <r>
    <s v="한지민"/>
    <s v="전자레인지"/>
    <x v="6"/>
    <s v="대구"/>
    <n v="2050671"/>
    <n v="36"/>
    <n v="395347"/>
    <x v="121"/>
    <n v="0.43"/>
    <n v="1710510.88"/>
  </r>
  <r>
    <s v="한지민"/>
    <s v="스마트워치"/>
    <x v="5"/>
    <s v="울산"/>
    <n v="4447138"/>
    <n v="57"/>
    <n v="466243"/>
    <x v="93"/>
    <n v="0.02"/>
    <n v="2897330.58"/>
  </r>
  <r>
    <s v="유재석"/>
    <s v="TV"/>
    <x v="5"/>
    <s v="울산"/>
    <n v="932174"/>
    <n v="39"/>
    <n v="494134"/>
    <x v="122"/>
    <n v="0.18"/>
    <n v="3240401.4"/>
  </r>
  <r>
    <s v="유재석"/>
    <s v="전자레인지"/>
    <x v="0"/>
    <s v="강원"/>
    <n v="2793830"/>
    <n v="86"/>
    <n v="499755"/>
    <x v="123"/>
    <n v="0.18"/>
    <n v="3270345.6"/>
  </r>
  <r>
    <s v="정우성"/>
    <s v="카메라"/>
    <x v="5"/>
    <s v="경상"/>
    <n v="4878990"/>
    <n v="46"/>
    <n v="249197"/>
    <x v="124"/>
    <n v="0.09"/>
    <n v="194484.68"/>
  </r>
  <r>
    <s v="이지은"/>
    <s v="스마트폰"/>
    <x v="5"/>
    <s v="강원"/>
    <n v="3427929"/>
    <n v="14"/>
    <n v="482999"/>
    <x v="125"/>
    <n v="0.26"/>
    <n v="3280103.64"/>
  </r>
  <r>
    <s v="최준혁"/>
    <s v="세탁기"/>
    <x v="2"/>
    <s v="광주"/>
    <n v="1612315"/>
    <n v="30"/>
    <n v="184667"/>
    <x v="126"/>
    <n v="0.1"/>
    <n v="3259786.82"/>
  </r>
  <r>
    <s v="이지은"/>
    <s v="스마트워치"/>
    <x v="3"/>
    <s v="서울"/>
    <n v="2119002"/>
    <n v="18"/>
    <n v="179919"/>
    <x v="127"/>
    <n v="0.34"/>
    <n v="469584.47"/>
  </r>
  <r>
    <s v="이영희"/>
    <s v="헤드폰"/>
    <x v="6"/>
    <s v="광주"/>
    <n v="1333902"/>
    <n v="9"/>
    <n v="402487"/>
    <x v="38"/>
    <n v="0.45"/>
    <n v="4145723.05"/>
  </r>
  <r>
    <s v="김철수"/>
    <s v="노트북"/>
    <x v="2"/>
    <s v="광주"/>
    <n v="3181395"/>
    <n v="24"/>
    <n v="28281"/>
    <x v="128"/>
    <n v="0.47"/>
    <n v="2632245.4"/>
  </r>
  <r>
    <s v="이지은"/>
    <s v="노트북"/>
    <x v="0"/>
    <s v="경상"/>
    <n v="1424835"/>
    <n v="10"/>
    <n v="61907"/>
    <x v="129"/>
    <n v="0.14000000000000001"/>
    <n v="990134.46"/>
  </r>
  <r>
    <s v="유재석"/>
    <s v="전자레인지"/>
    <x v="5"/>
    <s v="전라"/>
    <n v="3503044"/>
    <n v="36"/>
    <n v="349736"/>
    <x v="130"/>
    <n v="0.04"/>
    <n v="1558485.76"/>
  </r>
  <r>
    <s v="송하나"/>
    <s v="스마트워치"/>
    <x v="5"/>
    <s v="서울"/>
    <n v="4714279"/>
    <n v="37"/>
    <n v="15878"/>
    <x v="131"/>
    <n v="0.5"/>
    <n v="1424028"/>
  </r>
  <r>
    <s v="강호동"/>
    <s v="TV"/>
    <x v="4"/>
    <s v="경기"/>
    <n v="3212043"/>
    <n v="41"/>
    <n v="400217"/>
    <x v="132"/>
    <n v="0.26"/>
    <n v="3052267.68"/>
  </r>
  <r>
    <s v="박민수"/>
    <s v="스마트워치"/>
    <x v="0"/>
    <s v="광주"/>
    <n v="3176980"/>
    <n v="35"/>
    <n v="276452"/>
    <x v="133"/>
    <n v="0.33"/>
    <n v="805663.32"/>
  </r>
  <r>
    <s v="유재석"/>
    <s v="스마트워치"/>
    <x v="3"/>
    <s v="광주"/>
    <n v="162411"/>
    <n v="84"/>
    <n v="465347"/>
    <x v="134"/>
    <n v="0.19"/>
    <n v="3825865.72"/>
  </r>
  <r>
    <s v="이지은"/>
    <s v="태블릿"/>
    <x v="1"/>
    <s v="인천"/>
    <n v="286737"/>
    <n v="83"/>
    <n v="44865"/>
    <x v="12"/>
    <n v="0.36"/>
    <n v="3391642.56"/>
  </r>
  <r>
    <s v="이지은"/>
    <s v="카메라"/>
    <x v="0"/>
    <s v="인천"/>
    <n v="3015768"/>
    <n v="77"/>
    <n v="54585"/>
    <x v="135"/>
    <n v="0.24"/>
    <n v="1118524.44"/>
  </r>
  <r>
    <s v="이영희"/>
    <s v="헤드폰"/>
    <x v="0"/>
    <s v="강원"/>
    <n v="2611719"/>
    <n v="71"/>
    <n v="166136"/>
    <x v="136"/>
    <n v="0.09"/>
    <n v="1635156.88"/>
  </r>
  <r>
    <s v="박민수"/>
    <s v="태블릿"/>
    <x v="6"/>
    <s v="전라"/>
    <n v="536002"/>
    <n v="54"/>
    <n v="474726"/>
    <x v="106"/>
    <n v="0.16"/>
    <n v="4036179.98"/>
  </r>
  <r>
    <s v="최준혁"/>
    <s v="헤드폰"/>
    <x v="4"/>
    <s v="강원"/>
    <n v="4116521"/>
    <n v="15"/>
    <n v="16398"/>
    <x v="137"/>
    <n v="0.22"/>
    <n v="3060014.91"/>
  </r>
  <r>
    <s v="이영희"/>
    <s v="냉장고"/>
    <x v="0"/>
    <s v="충청"/>
    <n v="3035755"/>
    <n v="65"/>
    <n v="319409"/>
    <x v="138"/>
    <n v="0.39"/>
    <n v="306772.2"/>
  </r>
  <r>
    <s v="강호동"/>
    <s v="스마트폰"/>
    <x v="2"/>
    <s v="강원"/>
    <n v="1349464"/>
    <n v="69"/>
    <n v="260124"/>
    <x v="139"/>
    <n v="0.08"/>
    <n v="336078.54"/>
  </r>
  <r>
    <s v="정우성"/>
    <s v="세탁기"/>
    <x v="2"/>
    <s v="울산"/>
    <n v="4527983"/>
    <n v="61"/>
    <n v="100248"/>
    <x v="140"/>
    <n v="0.39"/>
    <n v="3122479.78"/>
  </r>
  <r>
    <s v="이지은"/>
    <s v="TV"/>
    <x v="3"/>
    <s v="대구"/>
    <n v="4336682"/>
    <n v="91"/>
    <n v="23278"/>
    <x v="141"/>
    <n v="0.27"/>
    <n v="1401657.39"/>
  </r>
  <r>
    <s v="유재석"/>
    <s v="세탁기"/>
    <x v="0"/>
    <s v="전라"/>
    <n v="860242"/>
    <n v="82"/>
    <n v="3889"/>
    <x v="142"/>
    <n v="0.46"/>
    <n v="1805062.05"/>
  </r>
  <r>
    <s v="김철수"/>
    <s v="노트북"/>
    <x v="4"/>
    <s v="충청"/>
    <n v="4302282"/>
    <n v="88"/>
    <n v="349143"/>
    <x v="143"/>
    <n v="0.38"/>
    <n v="936297.6"/>
  </r>
  <r>
    <s v="이지은"/>
    <s v="노트북"/>
    <x v="6"/>
    <s v="충청"/>
    <n v="4465768"/>
    <n v="63"/>
    <n v="448561"/>
    <x v="144"/>
    <n v="0.05"/>
    <n v="1815051.25"/>
  </r>
  <r>
    <s v="강호동"/>
    <s v="노트북"/>
    <x v="4"/>
    <s v="대전"/>
    <n v="4191579"/>
    <n v="35"/>
    <n v="421379"/>
    <x v="145"/>
    <n v="0.19"/>
    <n v="726160"/>
  </r>
  <r>
    <s v="한지민"/>
    <s v="냉장고"/>
    <x v="4"/>
    <s v="인천"/>
    <n v="1623160"/>
    <n v="73"/>
    <n v="99921"/>
    <x v="146"/>
    <n v="0.2"/>
    <n v="301640.17"/>
  </r>
  <r>
    <s v="유재석"/>
    <s v="냉장고"/>
    <x v="4"/>
    <s v="서울"/>
    <n v="3574594"/>
    <n v="75"/>
    <n v="227132"/>
    <x v="147"/>
    <n v="7.0000000000000007E-2"/>
    <n v="342855.67999999999"/>
  </r>
  <r>
    <s v="이지은"/>
    <s v="스마트워치"/>
    <x v="2"/>
    <s v="충청"/>
    <n v="1266713"/>
    <n v="90"/>
    <n v="252043"/>
    <x v="46"/>
    <n v="0.15"/>
    <n v="1558388.16"/>
  </r>
  <r>
    <s v="유재석"/>
    <s v="스마트워치"/>
    <x v="6"/>
    <s v="울산"/>
    <n v="1108750"/>
    <n v="18"/>
    <n v="250300"/>
    <x v="148"/>
    <n v="0.19"/>
    <n v="2917020.47"/>
  </r>
  <r>
    <s v="이영희"/>
    <s v="스마트폰"/>
    <x v="4"/>
    <s v="전라"/>
    <n v="3401916"/>
    <n v="63"/>
    <n v="400743"/>
    <x v="149"/>
    <n v="0.27"/>
    <n v="929988.24"/>
  </r>
  <r>
    <s v="박민수"/>
    <s v="스마트폰"/>
    <x v="0"/>
    <s v="제주"/>
    <n v="3558185"/>
    <n v="58"/>
    <n v="162880"/>
    <x v="150"/>
    <n v="0.25"/>
    <n v="3247227.48"/>
  </r>
  <r>
    <s v="박민수"/>
    <s v="태블릿"/>
    <x v="2"/>
    <s v="경기"/>
    <n v="3579455"/>
    <n v="79"/>
    <n v="397564"/>
    <x v="151"/>
    <n v="0.35"/>
    <n v="1813766.08"/>
  </r>
  <r>
    <s v="박민수"/>
    <s v="태블릿"/>
    <x v="3"/>
    <s v="광주"/>
    <n v="791409"/>
    <n v="19"/>
    <n v="448447"/>
    <x v="152"/>
    <n v="0.47"/>
    <n v="2569608.75"/>
  </r>
  <r>
    <s v="김철수"/>
    <s v="스마트워치"/>
    <x v="0"/>
    <s v="전라"/>
    <n v="3915210"/>
    <n v="53"/>
    <n v="246699"/>
    <x v="153"/>
    <n v="0.47"/>
    <n v="1471051.2"/>
  </r>
  <r>
    <s v="한지민"/>
    <s v="스마트폰"/>
    <x v="5"/>
    <s v="서울"/>
    <n v="3923362"/>
    <n v="48"/>
    <n v="304901"/>
    <x v="17"/>
    <n v="0.13"/>
    <n v="1528747.02"/>
  </r>
  <r>
    <s v="이지은"/>
    <s v="전자레인지"/>
    <x v="3"/>
    <s v="제주"/>
    <n v="1663987"/>
    <n v="7"/>
    <n v="456040"/>
    <x v="154"/>
    <n v="0.23"/>
    <n v="561913.1"/>
  </r>
  <r>
    <s v="이지은"/>
    <s v="노트북"/>
    <x v="1"/>
    <s v="울산"/>
    <n v="4390505"/>
    <n v="78"/>
    <n v="171685"/>
    <x v="155"/>
    <n v="0.12"/>
    <n v="1318412.6399999999"/>
  </r>
  <r>
    <s v="이지은"/>
    <s v="스마트폰"/>
    <x v="6"/>
    <s v="경기"/>
    <n v="3602273"/>
    <n v="63"/>
    <n v="205914"/>
    <x v="156"/>
    <n v="0.05"/>
    <n v="3817189.92"/>
  </r>
  <r>
    <s v="송하나"/>
    <s v="스마트폰"/>
    <x v="0"/>
    <s v="서울"/>
    <n v="3000348"/>
    <n v="31"/>
    <n v="388367"/>
    <x v="157"/>
    <n v="0.19"/>
    <n v="3213549.24"/>
  </r>
  <r>
    <s v="최준혁"/>
    <s v="세탁기"/>
    <x v="0"/>
    <s v="제주"/>
    <n v="20772"/>
    <n v="51"/>
    <n v="462794"/>
    <x v="158"/>
    <n v="0.01"/>
    <n v="1821535.56"/>
  </r>
  <r>
    <s v="유재석"/>
    <s v="TV"/>
    <x v="6"/>
    <s v="경상"/>
    <n v="4996506"/>
    <n v="99"/>
    <n v="95375"/>
    <x v="62"/>
    <n v="0.49"/>
    <n v="2407981.42"/>
  </r>
  <r>
    <s v="이영희"/>
    <s v="카메라"/>
    <x v="0"/>
    <s v="제주"/>
    <n v="1584165"/>
    <n v="80"/>
    <n v="366409"/>
    <x v="159"/>
    <n v="0.26"/>
    <n v="1374403.8"/>
  </r>
  <r>
    <s v="유재석"/>
    <s v="TV"/>
    <x v="0"/>
    <s v="전라"/>
    <n v="165398"/>
    <n v="65"/>
    <n v="36148"/>
    <x v="160"/>
    <n v="0.06"/>
    <n v="3486083.04"/>
  </r>
  <r>
    <s v="이지은"/>
    <s v="세탁기"/>
    <x v="4"/>
    <s v="대구"/>
    <n v="4619016"/>
    <n v="11"/>
    <n v="24479"/>
    <x v="161"/>
    <n v="0.17"/>
    <n v="750865.31"/>
  </r>
  <r>
    <s v="유재석"/>
    <s v="노트북"/>
    <x v="0"/>
    <s v="서울"/>
    <n v="213893"/>
    <n v="48"/>
    <n v="130091"/>
    <x v="162"/>
    <n v="0.35"/>
    <n v="424548.74"/>
  </r>
  <r>
    <s v="정우성"/>
    <s v="전자레인지"/>
    <x v="6"/>
    <s v="강원"/>
    <n v="2111321"/>
    <n v="89"/>
    <n v="185260"/>
    <x v="163"/>
    <n v="0.14000000000000001"/>
    <n v="2040297.35"/>
  </r>
  <r>
    <s v="김철수"/>
    <s v="냉장고"/>
    <x v="1"/>
    <s v="경기"/>
    <n v="4628494"/>
    <n v="5"/>
    <n v="253928"/>
    <x v="152"/>
    <n v="0.03"/>
    <n v="4519765.4400000004"/>
  </r>
  <r>
    <s v="최준혁"/>
    <s v="TV"/>
    <x v="5"/>
    <s v="충청"/>
    <n v="1807982"/>
    <n v="59"/>
    <n v="6181"/>
    <x v="164"/>
    <n v="0.36"/>
    <n v="2711620.8"/>
  </r>
  <r>
    <s v="최준혁"/>
    <s v="태블릿"/>
    <x v="1"/>
    <s v="울산"/>
    <n v="4674812"/>
    <n v="26"/>
    <n v="86052"/>
    <x v="165"/>
    <n v="0.39"/>
    <n v="2626726.4"/>
  </r>
  <r>
    <s v="최준혁"/>
    <s v="태블릿"/>
    <x v="1"/>
    <s v="강원"/>
    <n v="2861203"/>
    <n v="18"/>
    <n v="46282"/>
    <x v="166"/>
    <n v="0.45"/>
    <n v="554893.21"/>
  </r>
  <r>
    <s v="한지민"/>
    <s v="태블릿"/>
    <x v="5"/>
    <s v="제주"/>
    <n v="4375326"/>
    <n v="76"/>
    <n v="129970"/>
    <x v="167"/>
    <n v="0.22"/>
    <n v="2808990.92"/>
  </r>
  <r>
    <s v="강호동"/>
    <s v="노트북"/>
    <x v="4"/>
    <s v="전라"/>
    <n v="2078103"/>
    <n v="58"/>
    <n v="70565"/>
    <x v="134"/>
    <n v="0.37"/>
    <n v="410148.9"/>
  </r>
  <r>
    <s v="이지은"/>
    <s v="스마트폰"/>
    <x v="4"/>
    <s v="울산"/>
    <n v="1226931"/>
    <n v="79"/>
    <n v="429409"/>
    <x v="168"/>
    <n v="0.08"/>
    <n v="746840.88"/>
  </r>
  <r>
    <s v="김철수"/>
    <s v="스마트워치"/>
    <x v="4"/>
    <s v="경기"/>
    <n v="2836174"/>
    <n v="5"/>
    <n v="311322"/>
    <x v="169"/>
    <n v="0.24"/>
    <n v="1651827.24"/>
  </r>
  <r>
    <s v="최준혁"/>
    <s v="세탁기"/>
    <x v="3"/>
    <s v="인천"/>
    <n v="2237503"/>
    <n v="84"/>
    <n v="484213"/>
    <x v="170"/>
    <n v="0.09"/>
    <n v="1147827.8700000001"/>
  </r>
  <r>
    <s v="강호동"/>
    <s v="헤드폰"/>
    <x v="6"/>
    <s v="경상"/>
    <n v="12736"/>
    <n v="4"/>
    <n v="442735"/>
    <x v="171"/>
    <n v="0.15"/>
    <n v="1969344.8"/>
  </r>
  <r>
    <s v="이지은"/>
    <s v="스마트워치"/>
    <x v="3"/>
    <s v="전라"/>
    <n v="701161"/>
    <n v="5"/>
    <n v="106523"/>
    <x v="172"/>
    <n v="0.22"/>
    <n v="3976804.06"/>
  </r>
  <r>
    <s v="정우성"/>
    <s v="전자레인지"/>
    <x v="4"/>
    <s v="서울"/>
    <n v="576544"/>
    <n v="31"/>
    <n v="69871"/>
    <x v="173"/>
    <n v="0.44"/>
    <n v="2996399.51"/>
  </r>
  <r>
    <s v="한지민"/>
    <s v="태블릿"/>
    <x v="1"/>
    <s v="강원"/>
    <n v="1150800"/>
    <n v="1"/>
    <n v="76717"/>
    <x v="174"/>
    <n v="0.18"/>
    <n v="3244381.4"/>
  </r>
  <r>
    <s v="강호동"/>
    <s v="스마트폰"/>
    <x v="3"/>
    <s v="대구"/>
    <n v="4125233"/>
    <n v="61"/>
    <n v="310145"/>
    <x v="175"/>
    <n v="0.35"/>
    <n v="2038144.68"/>
  </r>
  <r>
    <s v="정우성"/>
    <s v="카메라"/>
    <x v="5"/>
    <s v="서울"/>
    <n v="932568"/>
    <n v="66"/>
    <n v="270566"/>
    <x v="176"/>
    <n v="0.36"/>
    <n v="1778794.65"/>
  </r>
  <r>
    <s v="정우성"/>
    <s v="카메라"/>
    <x v="5"/>
    <s v="강원"/>
    <n v="4050449"/>
    <n v="79"/>
    <n v="49944"/>
    <x v="177"/>
    <n v="0.39"/>
    <n v="1135983.78"/>
  </r>
  <r>
    <s v="정우성"/>
    <s v="태블릿"/>
    <x v="3"/>
    <s v="제주"/>
    <n v="1724869"/>
    <n v="83"/>
    <n v="247737"/>
    <x v="178"/>
    <n v="0.4"/>
    <n v="1270186.3799999999"/>
  </r>
  <r>
    <s v="정우성"/>
    <s v="전자레인지"/>
    <x v="0"/>
    <s v="충청"/>
    <n v="756838"/>
    <n v="8"/>
    <n v="77628"/>
    <x v="179"/>
    <n v="0.33"/>
    <n v="2025637.04"/>
  </r>
  <r>
    <s v="김철수"/>
    <s v="카메라"/>
    <x v="3"/>
    <s v="부산"/>
    <n v="3388381"/>
    <n v="19"/>
    <n v="403260"/>
    <x v="180"/>
    <n v="0.25"/>
    <n v="1917910.35"/>
  </r>
  <r>
    <s v="이영희"/>
    <s v="태블릿"/>
    <x v="6"/>
    <s v="서울"/>
    <n v="2733274"/>
    <n v="55"/>
    <n v="239899"/>
    <x v="178"/>
    <n v="0.23"/>
    <n v="459431.78"/>
  </r>
  <r>
    <s v="정우성"/>
    <s v="스마트폰"/>
    <x v="5"/>
    <s v="충청"/>
    <n v="3840798"/>
    <n v="31"/>
    <n v="137690"/>
    <x v="181"/>
    <n v="7.0000000000000007E-2"/>
    <n v="2175747.21"/>
  </r>
  <r>
    <s v="이영희"/>
    <s v="헤드폰"/>
    <x v="6"/>
    <s v="울산"/>
    <n v="3748304"/>
    <n v="77"/>
    <n v="279590"/>
    <x v="182"/>
    <n v="0.49"/>
    <n v="2698245.48"/>
  </r>
  <r>
    <s v="강호동"/>
    <s v="TV"/>
    <x v="4"/>
    <s v="강원"/>
    <n v="3075057"/>
    <n v="20"/>
    <n v="304857"/>
    <x v="183"/>
    <n v="0.01"/>
    <n v="2892655.41"/>
  </r>
  <r>
    <s v="이지은"/>
    <s v="전자레인지"/>
    <x v="3"/>
    <s v="대전"/>
    <n v="3204053"/>
    <n v="34"/>
    <n v="148330"/>
    <x v="184"/>
    <n v="0.08"/>
    <n v="1205523"/>
  </r>
  <r>
    <s v="박민수"/>
    <s v="TV"/>
    <x v="3"/>
    <s v="강원"/>
    <n v="4308464"/>
    <n v="53"/>
    <n v="473148"/>
    <x v="185"/>
    <n v="0.1"/>
    <n v="2279273.6"/>
  </r>
  <r>
    <s v="송하나"/>
    <s v="TV"/>
    <x v="4"/>
    <s v="전라"/>
    <n v="4468406"/>
    <n v="36"/>
    <n v="449510"/>
    <x v="186"/>
    <n v="0.37"/>
    <n v="231727.5"/>
  </r>
  <r>
    <s v="정우성"/>
    <s v="냉장고"/>
    <x v="4"/>
    <s v="제주"/>
    <n v="2540976"/>
    <n v="49"/>
    <n v="313596"/>
    <x v="187"/>
    <n v="0.25"/>
    <n v="119252.56"/>
  </r>
  <r>
    <s v="강호동"/>
    <s v="세탁기"/>
    <x v="0"/>
    <s v="서울"/>
    <n v="2888943"/>
    <n v="25"/>
    <n v="392332"/>
    <x v="188"/>
    <n v="7.0000000000000007E-2"/>
    <n v="1022997.36"/>
  </r>
  <r>
    <s v="유재석"/>
    <s v="전자레인지"/>
    <x v="2"/>
    <s v="울산"/>
    <n v="4354561"/>
    <n v="87"/>
    <n v="103614"/>
    <x v="189"/>
    <n v="0.08"/>
    <n v="2461262.2799999998"/>
  </r>
  <r>
    <s v="강호동"/>
    <s v="세탁기"/>
    <x v="4"/>
    <s v="울산"/>
    <n v="4667247"/>
    <n v="75"/>
    <n v="259304"/>
    <x v="190"/>
    <n v="0.16"/>
    <n v="538574.67000000004"/>
  </r>
  <r>
    <s v="강호동"/>
    <s v="태블릿"/>
    <x v="5"/>
    <s v="경상"/>
    <n v="3348471"/>
    <n v="32"/>
    <n v="379528"/>
    <x v="191"/>
    <n v="0.35"/>
    <n v="3423226.56"/>
  </r>
  <r>
    <s v="강호동"/>
    <s v="스마트워치"/>
    <x v="0"/>
    <s v="전라"/>
    <n v="2258996"/>
    <n v="57"/>
    <n v="226752"/>
    <x v="192"/>
    <n v="0.04"/>
    <n v="2019543.96"/>
  </r>
  <r>
    <s v="강호동"/>
    <s v="TV"/>
    <x v="6"/>
    <s v="충청"/>
    <n v="372076"/>
    <n v="62"/>
    <n v="144802"/>
    <x v="193"/>
    <n v="0.45"/>
    <n v="1077013.21"/>
  </r>
  <r>
    <s v="최준혁"/>
    <s v="스마트폰"/>
    <x v="4"/>
    <s v="대전"/>
    <n v="4963232"/>
    <n v="46"/>
    <n v="162387"/>
    <x v="15"/>
    <n v="0.36"/>
    <n v="1147511.94"/>
  </r>
  <r>
    <s v="김철수"/>
    <s v="스마트폰"/>
    <x v="4"/>
    <s v="강원"/>
    <n v="2739040"/>
    <n v="9"/>
    <n v="262216"/>
    <x v="194"/>
    <n v="0.21"/>
    <n v="2547510"/>
  </r>
  <r>
    <s v="박민수"/>
    <s v="카메라"/>
    <x v="4"/>
    <s v="대전"/>
    <n v="2782289"/>
    <n v="74"/>
    <n v="314450"/>
    <x v="195"/>
    <n v="0.21"/>
    <n v="2872604.68"/>
  </r>
  <r>
    <s v="정우성"/>
    <s v="스마트폰"/>
    <x v="3"/>
    <s v="부산"/>
    <n v="1880985"/>
    <n v="45"/>
    <n v="374709"/>
    <x v="196"/>
    <n v="0.03"/>
    <n v="1250858.24"/>
  </r>
  <r>
    <s v="강호동"/>
    <s v="카메라"/>
    <x v="4"/>
    <s v="전라"/>
    <n v="4206889"/>
    <n v="23"/>
    <n v="457614"/>
    <x v="40"/>
    <n v="0.05"/>
    <n v="3492894.79"/>
  </r>
  <r>
    <s v="김철수"/>
    <s v="스마트워치"/>
    <x v="3"/>
    <s v="울산"/>
    <n v="543779"/>
    <n v="58"/>
    <n v="259550"/>
    <x v="197"/>
    <n v="0.25"/>
    <n v="591215.31000000006"/>
  </r>
  <r>
    <s v="이영희"/>
    <s v="TV"/>
    <x v="3"/>
    <s v="전라"/>
    <n v="580350"/>
    <n v="100"/>
    <n v="354932"/>
    <x v="198"/>
    <n v="0.32"/>
    <n v="2056800.35"/>
  </r>
  <r>
    <s v="김철수"/>
    <s v="태블릿"/>
    <x v="6"/>
    <s v="부산"/>
    <n v="172486"/>
    <n v="14"/>
    <n v="15449"/>
    <x v="199"/>
    <n v="0.13"/>
    <n v="3966066.95"/>
  </r>
  <r>
    <s v="박민수"/>
    <s v="헤드폰"/>
    <x v="6"/>
    <s v="전라"/>
    <n v="2401191"/>
    <n v="81"/>
    <n v="34648"/>
    <x v="200"/>
    <n v="0.28000000000000003"/>
    <n v="764790.6"/>
  </r>
  <r>
    <s v="정우성"/>
    <s v="세탁기"/>
    <x v="4"/>
    <s v="서울"/>
    <n v="4370392"/>
    <n v="92"/>
    <n v="183985"/>
    <x v="155"/>
    <n v="0.18"/>
    <n v="2541473.5499999998"/>
  </r>
  <r>
    <s v="송하나"/>
    <s v="세탁기"/>
    <x v="6"/>
    <s v="부산"/>
    <n v="1987570"/>
    <n v="16"/>
    <n v="291023"/>
    <x v="43"/>
    <n v="0.46"/>
    <n v="2114277"/>
  </r>
  <r>
    <s v="이지은"/>
    <s v="전자레인지"/>
    <x v="1"/>
    <s v="경상"/>
    <n v="4728603"/>
    <n v="30"/>
    <n v="426733"/>
    <x v="201"/>
    <n v="0.11"/>
    <n v="3135557.52"/>
  </r>
  <r>
    <s v="박민수"/>
    <s v="카메라"/>
    <x v="4"/>
    <s v="경상"/>
    <n v="3480955"/>
    <n v="53"/>
    <n v="4480"/>
    <x v="202"/>
    <n v="0.05"/>
    <n v="1455825.59"/>
  </r>
  <r>
    <s v="김철수"/>
    <s v="헤드폰"/>
    <x v="6"/>
    <s v="서울"/>
    <n v="3651734"/>
    <n v="100"/>
    <n v="78820"/>
    <x v="203"/>
    <n v="0.39"/>
    <n v="376282.65"/>
  </r>
  <r>
    <s v="최준혁"/>
    <s v="세탁기"/>
    <x v="5"/>
    <s v="제주"/>
    <n v="1649124"/>
    <n v="71"/>
    <n v="135593"/>
    <x v="204"/>
    <n v="0.47"/>
    <n v="2791579.05"/>
  </r>
  <r>
    <s v="한지민"/>
    <s v="카메라"/>
    <x v="3"/>
    <s v="경기"/>
    <n v="554685"/>
    <n v="42"/>
    <n v="146035"/>
    <x v="205"/>
    <n v="0.11"/>
    <n v="1705995.9"/>
  </r>
  <r>
    <s v="한지민"/>
    <s v="냉장고"/>
    <x v="5"/>
    <s v="제주"/>
    <n v="2701624"/>
    <n v="50"/>
    <n v="204157"/>
    <x v="206"/>
    <n v="0.26"/>
    <n v="1007207.76"/>
  </r>
  <r>
    <s v="강호동"/>
    <s v="스마트폰"/>
    <x v="6"/>
    <s v="충청"/>
    <n v="4098837"/>
    <n v="71"/>
    <n v="48966"/>
    <x v="207"/>
    <n v="0.43"/>
    <n v="2689965.46"/>
  </r>
  <r>
    <s v="정우성"/>
    <s v="냉장고"/>
    <x v="1"/>
    <s v="강원"/>
    <n v="101128"/>
    <n v="20"/>
    <n v="451547"/>
    <x v="208"/>
    <n v="0.37"/>
    <n v="808972.78"/>
  </r>
  <r>
    <s v="이지은"/>
    <s v="노트북"/>
    <x v="1"/>
    <s v="대구"/>
    <n v="3492735"/>
    <n v="10"/>
    <n v="210134"/>
    <x v="209"/>
    <n v="0.23"/>
    <n v="1331661.1299999999"/>
  </r>
  <r>
    <s v="유재석"/>
    <s v="전자레인지"/>
    <x v="3"/>
    <s v="경기"/>
    <n v="2778159"/>
    <n v="86"/>
    <n v="445810"/>
    <x v="210"/>
    <n v="0.19"/>
    <n v="369509.76"/>
  </r>
  <r>
    <s v="김철수"/>
    <s v="전자레인지"/>
    <x v="6"/>
    <s v="대전"/>
    <n v="3861854"/>
    <n v="35"/>
    <n v="297943"/>
    <x v="211"/>
    <n v="0.43"/>
    <n v="3271492.8"/>
  </r>
  <r>
    <s v="유재석"/>
    <s v="헤드폰"/>
    <x v="5"/>
    <s v="전라"/>
    <n v="1521665"/>
    <n v="39"/>
    <n v="166513"/>
    <x v="212"/>
    <n v="0.3"/>
    <n v="3663117.02"/>
  </r>
  <r>
    <s v="최준혁"/>
    <s v="냉장고"/>
    <x v="5"/>
    <s v="충청"/>
    <n v="2940690"/>
    <n v="2"/>
    <n v="454321"/>
    <x v="213"/>
    <n v="0.32"/>
    <n v="1569765.78"/>
  </r>
  <r>
    <s v="송하나"/>
    <s v="헤드폰"/>
    <x v="4"/>
    <s v="전라"/>
    <n v="1487846"/>
    <n v="83"/>
    <n v="134281"/>
    <x v="60"/>
    <n v="0.3"/>
    <n v="213210.72"/>
  </r>
  <r>
    <s v="김철수"/>
    <s v="냉장고"/>
    <x v="4"/>
    <s v="강원"/>
    <n v="2851741"/>
    <n v="30"/>
    <n v="95123"/>
    <x v="212"/>
    <n v="0.37"/>
    <n v="1736967.84"/>
  </r>
  <r>
    <s v="강호동"/>
    <s v="스마트워치"/>
    <x v="3"/>
    <s v="부산"/>
    <n v="4203791"/>
    <n v="35"/>
    <n v="457457"/>
    <x v="159"/>
    <n v="0.34"/>
    <n v="4839702.12"/>
  </r>
  <r>
    <s v="송하나"/>
    <s v="전자레인지"/>
    <x v="3"/>
    <s v="부산"/>
    <n v="54986"/>
    <n v="66"/>
    <n v="284447"/>
    <x v="214"/>
    <n v="0.35"/>
    <n v="1075175.3999999999"/>
  </r>
  <r>
    <s v="유재석"/>
    <s v="세탁기"/>
    <x v="4"/>
    <s v="서울"/>
    <n v="77361"/>
    <n v="86"/>
    <n v="418054"/>
    <x v="215"/>
    <n v="0.49"/>
    <n v="2529245.88"/>
  </r>
  <r>
    <s v="송하나"/>
    <s v="TV"/>
    <x v="0"/>
    <s v="강원"/>
    <n v="2547269"/>
    <n v="21"/>
    <n v="402349"/>
    <x v="216"/>
    <n v="0.28000000000000003"/>
    <n v="406192.16"/>
  </r>
  <r>
    <s v="최준혁"/>
    <s v="태블릿"/>
    <x v="3"/>
    <s v="전라"/>
    <n v="2980550"/>
    <n v="9"/>
    <n v="160061"/>
    <x v="217"/>
    <n v="0.47"/>
    <n v="95482.17"/>
  </r>
  <r>
    <s v="유재석"/>
    <s v="노트북"/>
    <x v="6"/>
    <s v="부산"/>
    <n v="2828765"/>
    <n v="18"/>
    <n v="207293"/>
    <x v="218"/>
    <n v="0.42"/>
    <n v="2926320.54"/>
  </r>
  <r>
    <s v="정우성"/>
    <s v="세탁기"/>
    <x v="4"/>
    <s v="부산"/>
    <n v="2010872"/>
    <n v="12"/>
    <n v="120532"/>
    <x v="219"/>
    <n v="0.22"/>
    <n v="1328824.6399999999"/>
  </r>
  <r>
    <s v="송하나"/>
    <s v="냉장고"/>
    <x v="5"/>
    <s v="서울"/>
    <n v="749120"/>
    <n v="34"/>
    <n v="147034"/>
    <x v="157"/>
    <n v="0.32"/>
    <n v="3155905.2"/>
  </r>
  <r>
    <s v="박민수"/>
    <s v="TV"/>
    <x v="1"/>
    <s v="울산"/>
    <n v="3070010"/>
    <n v="68"/>
    <n v="289488"/>
    <x v="220"/>
    <n v="7.0000000000000007E-2"/>
    <n v="333566.82"/>
  </r>
  <r>
    <s v="이지은"/>
    <s v="TV"/>
    <x v="6"/>
    <s v="인천"/>
    <n v="3250834"/>
    <n v="92"/>
    <n v="4420"/>
    <x v="221"/>
    <n v="0.45"/>
    <n v="1705527.51"/>
  </r>
  <r>
    <s v="한지민"/>
    <s v="냉장고"/>
    <x v="6"/>
    <s v="서울"/>
    <n v="4120807"/>
    <n v="61"/>
    <n v="121998"/>
    <x v="167"/>
    <n v="7.0000000000000007E-2"/>
    <n v="2305815.35"/>
  </r>
  <r>
    <s v="이영희"/>
    <s v="TV"/>
    <x v="4"/>
    <s v="경상"/>
    <n v="289940"/>
    <n v="74"/>
    <n v="423539"/>
    <x v="222"/>
    <n v="0.18"/>
    <n v="3668011.2"/>
  </r>
  <r>
    <s v="이영희"/>
    <s v="세탁기"/>
    <x v="4"/>
    <s v="경상"/>
    <n v="2532811"/>
    <n v="36"/>
    <n v="430072"/>
    <x v="223"/>
    <n v="0.1"/>
    <n v="888052.41"/>
  </r>
  <r>
    <s v="정우성"/>
    <s v="헤드폰"/>
    <x v="6"/>
    <s v="광주"/>
    <n v="2861520"/>
    <n v="32"/>
    <n v="314353"/>
    <x v="109"/>
    <n v="0.36"/>
    <n v="4295789.04"/>
  </r>
  <r>
    <s v="이영희"/>
    <s v="카메라"/>
    <x v="6"/>
    <s v="경기"/>
    <n v="2865648"/>
    <n v="24"/>
    <n v="176041"/>
    <x v="224"/>
    <n v="0.18"/>
    <n v="3086756.19"/>
  </r>
  <r>
    <s v="최준혁"/>
    <s v="세탁기"/>
    <x v="0"/>
    <s v="대구"/>
    <n v="4375081"/>
    <n v="43"/>
    <n v="1416"/>
    <x v="225"/>
    <n v="0.49"/>
    <n v="2940991.29"/>
  </r>
  <r>
    <s v="이영희"/>
    <s v="냉장고"/>
    <x v="3"/>
    <s v="전라"/>
    <n v="3146380"/>
    <n v="91"/>
    <n v="203259"/>
    <x v="14"/>
    <n v="0.24"/>
    <n v="2308556.67"/>
  </r>
  <r>
    <s v="박민수"/>
    <s v="카메라"/>
    <x v="3"/>
    <s v="울산"/>
    <n v="2177769"/>
    <n v="78"/>
    <n v="226686"/>
    <x v="68"/>
    <n v="0.49"/>
    <n v="900541.48"/>
  </r>
  <r>
    <s v="박민수"/>
    <s v="노트북"/>
    <x v="0"/>
    <s v="경기"/>
    <n v="3645192"/>
    <n v="94"/>
    <n v="291961"/>
    <x v="185"/>
    <n v="0.28999999999999998"/>
    <n v="365390.64"/>
  </r>
  <r>
    <s v="한지민"/>
    <s v="헤드폰"/>
    <x v="0"/>
    <s v="울산"/>
    <n v="509549"/>
    <n v="52"/>
    <n v="188933"/>
    <x v="226"/>
    <n v="0.17"/>
    <n v="2150200.5"/>
  </r>
  <r>
    <s v="유재석"/>
    <s v="카메라"/>
    <x v="0"/>
    <s v="대전"/>
    <n v="4231683"/>
    <n v="26"/>
    <n v="463779"/>
    <x v="227"/>
    <n v="0.09"/>
    <n v="265549.44"/>
  </r>
  <r>
    <s v="김철수"/>
    <s v="냉장고"/>
    <x v="0"/>
    <s v="대구"/>
    <n v="4173099"/>
    <n v="34"/>
    <n v="98146"/>
    <x v="228"/>
    <n v="0.15"/>
    <n v="4437233.96"/>
  </r>
  <r>
    <s v="이영희"/>
    <s v="세탁기"/>
    <x v="4"/>
    <s v="광주"/>
    <n v="4666181"/>
    <n v="29"/>
    <n v="475565"/>
    <x v="229"/>
    <n v="0.35"/>
    <n v="2283454.9500000002"/>
  </r>
  <r>
    <s v="최준혁"/>
    <s v="노트북"/>
    <x v="2"/>
    <s v="부산"/>
    <n v="3123971"/>
    <n v="67"/>
    <n v="94121"/>
    <x v="38"/>
    <n v="0.3"/>
    <n v="2776439.55"/>
  </r>
  <r>
    <s v="강호동"/>
    <s v="헤드폰"/>
    <x v="3"/>
    <s v="경상"/>
    <n v="610332"/>
    <n v="48"/>
    <n v="119230"/>
    <x v="230"/>
    <n v="0.04"/>
    <n v="2875043.56"/>
  </r>
  <r>
    <s v="송하나"/>
    <s v="카메라"/>
    <x v="4"/>
    <s v="울산"/>
    <n v="289770"/>
    <n v="43"/>
    <n v="20701"/>
    <x v="48"/>
    <n v="0.47"/>
    <n v="2274948.52"/>
  </r>
  <r>
    <s v="유재석"/>
    <s v="노트북"/>
    <x v="6"/>
    <s v="부산"/>
    <n v="468595"/>
    <n v="6"/>
    <n v="373529"/>
    <x v="231"/>
    <n v="0.46"/>
    <n v="1222708.3899999999"/>
  </r>
  <r>
    <s v="이지은"/>
    <s v="TV"/>
    <x v="5"/>
    <s v="인천"/>
    <n v="1844929"/>
    <n v="1"/>
    <n v="220252"/>
    <x v="232"/>
    <n v="0.02"/>
    <n v="865793.68"/>
  </r>
  <r>
    <s v="송하나"/>
    <s v="태블릿"/>
    <x v="6"/>
    <s v="충청"/>
    <n v="4494492"/>
    <n v="24"/>
    <n v="219299"/>
    <x v="233"/>
    <n v="0.42"/>
    <n v="1686567.12"/>
  </r>
  <r>
    <s v="강호동"/>
    <s v="세탁기"/>
    <x v="6"/>
    <s v="경상"/>
    <n v="4513946"/>
    <n v="73"/>
    <n v="172653"/>
    <x v="234"/>
    <n v="0.22"/>
    <n v="1698166.8"/>
  </r>
  <r>
    <s v="이영희"/>
    <s v="노트북"/>
    <x v="2"/>
    <s v="울산"/>
    <n v="3946631"/>
    <n v="88"/>
    <n v="199564"/>
    <x v="235"/>
    <n v="0.16"/>
    <n v="2258356.14"/>
  </r>
  <r>
    <s v="강호동"/>
    <s v="냉장고"/>
    <x v="3"/>
    <s v="서울"/>
    <n v="2744092"/>
    <n v="66"/>
    <n v="119694"/>
    <x v="236"/>
    <n v="0.08"/>
    <n v="981595.44"/>
  </r>
  <r>
    <s v="박민수"/>
    <s v="노트북"/>
    <x v="3"/>
    <s v="충청"/>
    <n v="3508281"/>
    <n v="57"/>
    <n v="393160"/>
    <x v="237"/>
    <n v="0.28999999999999998"/>
    <n v="1974462.42"/>
  </r>
  <r>
    <s v="유재석"/>
    <s v="스마트폰"/>
    <x v="2"/>
    <s v="경기"/>
    <n v="380164"/>
    <n v="65"/>
    <n v="190716"/>
    <x v="238"/>
    <n v="0.25"/>
    <n v="3254309.41"/>
  </r>
  <r>
    <s v="유재석"/>
    <s v="냉장고"/>
    <x v="4"/>
    <s v="제주"/>
    <n v="3819331"/>
    <n v="76"/>
    <n v="85370"/>
    <x v="214"/>
    <n v="0.21"/>
    <n v="1822311.56"/>
  </r>
  <r>
    <s v="최준혁"/>
    <s v="스마트워치"/>
    <x v="1"/>
    <s v="경기"/>
    <n v="4251476"/>
    <n v="20"/>
    <n v="278053"/>
    <x v="239"/>
    <n v="0.1"/>
    <n v="296633.03999999998"/>
  </r>
  <r>
    <s v="이영희"/>
    <s v="전자레인지"/>
    <x v="0"/>
    <s v="인천"/>
    <n v="3842792"/>
    <n v="83"/>
    <n v="225151"/>
    <x v="240"/>
    <n v="0.09"/>
    <n v="1310161.06"/>
  </r>
  <r>
    <s v="유재석"/>
    <s v="노트북"/>
    <x v="2"/>
    <s v="부산"/>
    <n v="3975328"/>
    <n v="6"/>
    <n v="415444"/>
    <x v="238"/>
    <n v="0.25"/>
    <n v="2601636.75"/>
  </r>
  <r>
    <s v="한지민"/>
    <s v="냉장고"/>
    <x v="4"/>
    <s v="대구"/>
    <n v="34676"/>
    <n v="49"/>
    <n v="221769"/>
    <x v="241"/>
    <n v="0.27"/>
    <n v="1462434.65"/>
  </r>
  <r>
    <s v="송하나"/>
    <s v="스마트폰"/>
    <x v="1"/>
    <s v="서울"/>
    <n v="3337017"/>
    <n v="31"/>
    <n v="55695"/>
    <x v="242"/>
    <n v="0.06"/>
    <n v="288819"/>
  </r>
  <r>
    <s v="박민수"/>
    <s v="TV"/>
    <x v="1"/>
    <s v="서울"/>
    <n v="837902"/>
    <n v="75"/>
    <n v="180616"/>
    <x v="224"/>
    <n v="0.38"/>
    <n v="2946354.32"/>
  </r>
  <r>
    <s v="정우성"/>
    <s v="태블릿"/>
    <x v="3"/>
    <s v="대구"/>
    <n v="566665"/>
    <n v="66"/>
    <n v="167424"/>
    <x v="243"/>
    <n v="0.33"/>
    <n v="3518380.15"/>
  </r>
  <r>
    <s v="이영희"/>
    <s v="스마트워치"/>
    <x v="1"/>
    <s v="충청"/>
    <n v="3444030"/>
    <n v="16"/>
    <n v="57417"/>
    <x v="244"/>
    <n v="0.19"/>
    <n v="2509740.08"/>
  </r>
  <r>
    <s v="박민수"/>
    <s v="TV"/>
    <x v="1"/>
    <s v="울산"/>
    <n v="691754"/>
    <n v="30"/>
    <n v="195365"/>
    <x v="245"/>
    <n v="0.32"/>
    <n v="2181709.3199999998"/>
  </r>
  <r>
    <s v="이영희"/>
    <s v="스마트워치"/>
    <x v="1"/>
    <s v="광주"/>
    <n v="4398805"/>
    <n v="41"/>
    <n v="345357"/>
    <x v="182"/>
    <n v="0.41"/>
    <n v="1859891.86"/>
  </r>
  <r>
    <s v="김철수"/>
    <s v="스마트폰"/>
    <x v="4"/>
    <s v="제주"/>
    <n v="1039382"/>
    <n v="39"/>
    <n v="253767"/>
    <x v="246"/>
    <n v="7.0000000000000007E-2"/>
    <n v="1574354.66"/>
  </r>
  <r>
    <s v="이지은"/>
    <s v="스마트폰"/>
    <x v="4"/>
    <s v="인천"/>
    <n v="1066889"/>
    <n v="91"/>
    <n v="444319"/>
    <x v="247"/>
    <n v="0.24"/>
    <n v="1818785.97"/>
  </r>
  <r>
    <s v="정우성"/>
    <s v="냉장고"/>
    <x v="5"/>
    <s v="부산"/>
    <n v="1461933"/>
    <n v="14"/>
    <n v="346800"/>
    <x v="248"/>
    <n v="0.25"/>
    <n v="338145.22"/>
  </r>
  <r>
    <s v="김철수"/>
    <s v="카메라"/>
    <x v="2"/>
    <s v="울산"/>
    <n v="3688365"/>
    <n v="19"/>
    <n v="274549"/>
    <x v="249"/>
    <n v="0.22"/>
    <n v="2283783.36"/>
  </r>
  <r>
    <s v="송하나"/>
    <s v="전자레인지"/>
    <x v="6"/>
    <s v="대구"/>
    <n v="3004584"/>
    <n v="96"/>
    <n v="75089"/>
    <x v="250"/>
    <n v="0.5"/>
    <n v="3332859.66"/>
  </r>
  <r>
    <s v="박민수"/>
    <s v="TV"/>
    <x v="1"/>
    <s v="부산"/>
    <n v="4165266"/>
    <n v="71"/>
    <n v="95098"/>
    <x v="251"/>
    <n v="0.48"/>
    <n v="1679644.08"/>
  </r>
  <r>
    <s v="이영희"/>
    <s v="스마트워치"/>
    <x v="0"/>
    <s v="대구"/>
    <n v="4378213"/>
    <n v="5"/>
    <n v="71352"/>
    <x v="252"/>
    <n v="0.43"/>
    <n v="211259.3"/>
  </r>
  <r>
    <s v="정우성"/>
    <s v="전자레인지"/>
    <x v="6"/>
    <s v="대전"/>
    <n v="4945471"/>
    <n v="25"/>
    <n v="72495"/>
    <x v="116"/>
    <n v="0.5"/>
    <n v="429303.84"/>
  </r>
  <r>
    <s v="이영희"/>
    <s v="헤드폰"/>
    <x v="5"/>
    <s v="인천"/>
    <n v="4420627"/>
    <n v="88"/>
    <n v="192088"/>
    <x v="253"/>
    <n v="0.43"/>
    <n v="207226.8"/>
  </r>
  <r>
    <s v="박민수"/>
    <s v="TV"/>
    <x v="3"/>
    <s v="강원"/>
    <n v="1369742"/>
    <n v="68"/>
    <n v="392062"/>
    <x v="254"/>
    <n v="0.28000000000000003"/>
    <n v="374074.15"/>
  </r>
  <r>
    <s v="박민수"/>
    <s v="전자레인지"/>
    <x v="1"/>
    <s v="부산"/>
    <n v="2549112"/>
    <n v="62"/>
    <n v="258622"/>
    <x v="255"/>
    <n v="0.46"/>
    <n v="1834888.25"/>
  </r>
  <r>
    <s v="박민수"/>
    <s v="스마트폰"/>
    <x v="3"/>
    <s v="충청"/>
    <n v="3055534"/>
    <n v="76"/>
    <n v="388398"/>
    <x v="95"/>
    <n v="0.37"/>
    <n v="2436389.7599999998"/>
  </r>
  <r>
    <s v="유재석"/>
    <s v="TV"/>
    <x v="2"/>
    <s v="제주"/>
    <n v="4773871"/>
    <n v="47"/>
    <n v="365153"/>
    <x v="248"/>
    <n v="0.34"/>
    <n v="2039578.58"/>
  </r>
  <r>
    <s v="한지민"/>
    <s v="전자레인지"/>
    <x v="4"/>
    <s v="서울"/>
    <n v="3186929"/>
    <n v="19"/>
    <n v="440356"/>
    <x v="256"/>
    <n v="0.04"/>
    <n v="872425.08"/>
  </r>
  <r>
    <s v="박민수"/>
    <s v="카메라"/>
    <x v="1"/>
    <s v="서울"/>
    <n v="257827"/>
    <n v="80"/>
    <n v="239525"/>
    <x v="257"/>
    <n v="0.04"/>
    <n v="1374715.71"/>
  </r>
  <r>
    <s v="정우성"/>
    <s v="스마트폰"/>
    <x v="3"/>
    <s v="인천"/>
    <n v="2453641"/>
    <n v="45"/>
    <n v="372927"/>
    <x v="258"/>
    <n v="0.39"/>
    <n v="775139.64"/>
  </r>
  <r>
    <s v="유재석"/>
    <s v="전자레인지"/>
    <x v="5"/>
    <s v="부산"/>
    <n v="2009195"/>
    <n v="37"/>
    <n v="121609"/>
    <x v="259"/>
    <n v="0.28000000000000003"/>
    <n v="3486492.81"/>
  </r>
  <r>
    <s v="한지민"/>
    <s v="냉장고"/>
    <x v="3"/>
    <s v="제주"/>
    <n v="1128214"/>
    <n v="38"/>
    <n v="449345"/>
    <x v="260"/>
    <n v="0.48"/>
    <n v="1863092"/>
  </r>
  <r>
    <s v="이영희"/>
    <s v="스마트워치"/>
    <x v="6"/>
    <s v="대구"/>
    <n v="4667106"/>
    <n v="9"/>
    <n v="305234"/>
    <x v="25"/>
    <n v="0.34"/>
    <n v="3085730.52"/>
  </r>
  <r>
    <s v="정우성"/>
    <s v="세탁기"/>
    <x v="4"/>
    <s v="제주"/>
    <n v="3423584"/>
    <n v="25"/>
    <n v="259924"/>
    <x v="261"/>
    <n v="0.39"/>
    <n v="1721116.22"/>
  </r>
  <r>
    <s v="정우성"/>
    <s v="카메라"/>
    <x v="6"/>
    <s v="대구"/>
    <n v="304106"/>
    <n v="94"/>
    <n v="466488"/>
    <x v="262"/>
    <n v="0.16"/>
    <n v="2934376.38"/>
  </r>
  <r>
    <s v="박민수"/>
    <s v="스마트워치"/>
    <x v="2"/>
    <s v="부산"/>
    <n v="3660898"/>
    <n v="4"/>
    <n v="153453"/>
    <x v="263"/>
    <n v="0.25"/>
    <n v="4189198.65"/>
  </r>
  <r>
    <s v="최준혁"/>
    <s v="태블릿"/>
    <x v="1"/>
    <s v="울산"/>
    <n v="489847"/>
    <n v="30"/>
    <n v="24747"/>
    <x v="186"/>
    <n v="0.47"/>
    <n v="2249499.87"/>
  </r>
  <r>
    <s v="한지민"/>
    <s v="태블릿"/>
    <x v="2"/>
    <s v="전라"/>
    <n v="3244283"/>
    <n v="28"/>
    <n v="295129"/>
    <x v="61"/>
    <n v="0.03"/>
    <n v="1485504"/>
  </r>
  <r>
    <s v="이지은"/>
    <s v="노트북"/>
    <x v="6"/>
    <s v="인천"/>
    <n v="746722"/>
    <n v="48"/>
    <n v="434737"/>
    <x v="264"/>
    <n v="0.23"/>
    <n v="34521.300000000003"/>
  </r>
  <r>
    <s v="정우성"/>
    <s v="TV"/>
    <x v="2"/>
    <s v="제주"/>
    <n v="2736233"/>
    <n v="96"/>
    <n v="489456"/>
    <x v="265"/>
    <n v="0.41"/>
    <n v="2313157.64"/>
  </r>
  <r>
    <s v="송하나"/>
    <s v="카메라"/>
    <x v="2"/>
    <s v="제주"/>
    <n v="4598544"/>
    <n v="35"/>
    <n v="77841"/>
    <x v="266"/>
    <n v="0.44"/>
    <n v="158998.28"/>
  </r>
  <r>
    <s v="한지민"/>
    <s v="헤드폰"/>
    <x v="5"/>
    <s v="경기"/>
    <n v="759785"/>
    <n v="90"/>
    <n v="498857"/>
    <x v="267"/>
    <n v="0.38"/>
    <n v="1169361.9199999999"/>
  </r>
  <r>
    <s v="강호동"/>
    <s v="헤드폰"/>
    <x v="0"/>
    <s v="대구"/>
    <n v="3274706"/>
    <n v="84"/>
    <n v="20611"/>
    <x v="80"/>
    <n v="0.47"/>
    <n v="379232.28"/>
  </r>
  <r>
    <s v="박민수"/>
    <s v="전자레인지"/>
    <x v="3"/>
    <s v="울산"/>
    <n v="1870899"/>
    <n v="54"/>
    <n v="297057"/>
    <x v="268"/>
    <n v="0.01"/>
    <n v="877210.72"/>
  </r>
  <r>
    <s v="박민수"/>
    <s v="냉장고"/>
    <x v="1"/>
    <s v="강원"/>
    <n v="537485"/>
    <n v="21"/>
    <n v="224636"/>
    <x v="179"/>
    <n v="0.35"/>
    <n v="3253062.75"/>
  </r>
  <r>
    <s v="이지은"/>
    <s v="세탁기"/>
    <x v="2"/>
    <s v="경기"/>
    <n v="385469"/>
    <n v="7"/>
    <n v="322664"/>
    <x v="269"/>
    <n v="0.14000000000000001"/>
    <n v="2033938.24"/>
  </r>
  <r>
    <s v="이지은"/>
    <s v="헤드폰"/>
    <x v="3"/>
    <s v="대전"/>
    <n v="2657080"/>
    <n v="50"/>
    <n v="77636"/>
    <x v="253"/>
    <n v="0.23"/>
    <n v="845321.76"/>
  </r>
  <r>
    <s v="최준혁"/>
    <s v="헤드폰"/>
    <x v="1"/>
    <s v="인천"/>
    <n v="3348089"/>
    <n v="98"/>
    <n v="319338"/>
    <x v="204"/>
    <n v="0.08"/>
    <n v="2036934.9"/>
  </r>
  <r>
    <s v="송하나"/>
    <s v="노트북"/>
    <x v="1"/>
    <s v="대전"/>
    <n v="2138156"/>
    <n v="74"/>
    <n v="346644"/>
    <x v="59"/>
    <n v="0.17"/>
    <n v="989165.26"/>
  </r>
  <r>
    <s v="정우성"/>
    <s v="스마트워치"/>
    <x v="4"/>
    <s v="제주"/>
    <n v="1485190"/>
    <n v="70"/>
    <n v="387119"/>
    <x v="270"/>
    <n v="0.27"/>
    <n v="4228869.5999999996"/>
  </r>
  <r>
    <s v="한지민"/>
    <s v="TV"/>
    <x v="4"/>
    <s v="울산"/>
    <n v="4121273"/>
    <n v="27"/>
    <n v="226586"/>
    <x v="271"/>
    <n v="0.39"/>
    <n v="2873149.06"/>
  </r>
  <r>
    <s v="한지민"/>
    <s v="TV"/>
    <x v="6"/>
    <s v="서울"/>
    <n v="2363541"/>
    <n v="39"/>
    <n v="496710"/>
    <x v="103"/>
    <n v="0.26"/>
    <n v="2431150.5"/>
  </r>
  <r>
    <s v="강호동"/>
    <s v="전자레인지"/>
    <x v="0"/>
    <s v="강원"/>
    <n v="231321"/>
    <n v="73"/>
    <n v="464442"/>
    <x v="5"/>
    <n v="0.27"/>
    <n v="880963.02"/>
  </r>
  <r>
    <s v="정우성"/>
    <s v="노트북"/>
    <x v="5"/>
    <s v="전라"/>
    <n v="2199554"/>
    <n v="10"/>
    <n v="162079"/>
    <x v="272"/>
    <n v="0.16"/>
    <n v="1883764.79"/>
  </r>
  <r>
    <s v="최준혁"/>
    <s v="카메라"/>
    <x v="2"/>
    <s v="광주"/>
    <n v="2223088"/>
    <n v="83"/>
    <n v="75788"/>
    <x v="273"/>
    <n v="0.01"/>
    <n v="4253729.3600000003"/>
  </r>
  <r>
    <s v="유재석"/>
    <s v="TV"/>
    <x v="0"/>
    <s v="대구"/>
    <n v="2816974"/>
    <n v="79"/>
    <n v="311875"/>
    <x v="274"/>
    <n v="0.04"/>
    <n v="3392297.05"/>
  </r>
  <r>
    <s v="이지은"/>
    <s v="카메라"/>
    <x v="5"/>
    <s v="부산"/>
    <n v="3690464"/>
    <n v="9"/>
    <n v="426880"/>
    <x v="275"/>
    <n v="0.13"/>
    <n v="1002377.22"/>
  </r>
  <r>
    <s v="송하나"/>
    <s v="세탁기"/>
    <x v="2"/>
    <s v="인천"/>
    <n v="3263366"/>
    <n v="55"/>
    <n v="149724"/>
    <x v="276"/>
    <n v="0.46"/>
    <n v="3857363.51"/>
  </r>
  <r>
    <s v="정우성"/>
    <s v="TV"/>
    <x v="0"/>
    <s v="인천"/>
    <n v="4208721"/>
    <n v="55"/>
    <n v="356726"/>
    <x v="277"/>
    <n v="0.16"/>
    <n v="2744712.2"/>
  </r>
  <r>
    <s v="강호동"/>
    <s v="TV"/>
    <x v="5"/>
    <s v="충청"/>
    <n v="845611"/>
    <n v="64"/>
    <n v="213845"/>
    <x v="278"/>
    <n v="0.09"/>
    <n v="2177369.91"/>
  </r>
  <r>
    <s v="강호동"/>
    <s v="TV"/>
    <x v="6"/>
    <s v="경기"/>
    <n v="2101114"/>
    <n v="29"/>
    <n v="137870"/>
    <x v="279"/>
    <n v="0.25"/>
    <n v="2390835"/>
  </r>
  <r>
    <s v="한지민"/>
    <s v="전자레인지"/>
    <x v="4"/>
    <s v="광주"/>
    <n v="2281545"/>
    <n v="28"/>
    <n v="253901"/>
    <x v="280"/>
    <n v="0.11"/>
    <n v="1355202.8"/>
  </r>
  <r>
    <s v="정우성"/>
    <s v="세탁기"/>
    <x v="3"/>
    <s v="대전"/>
    <n v="3545964"/>
    <n v="94"/>
    <n v="67345"/>
    <x v="281"/>
    <n v="0.03"/>
    <n v="4663433.6100000003"/>
  </r>
  <r>
    <s v="강호동"/>
    <s v="헤드폰"/>
    <x v="3"/>
    <s v="인천"/>
    <n v="171477"/>
    <n v="18"/>
    <n v="56011"/>
    <x v="282"/>
    <n v="0.37"/>
    <n v="521684.46"/>
  </r>
  <r>
    <s v="정우성"/>
    <s v="태블릿"/>
    <x v="5"/>
    <s v="경기"/>
    <n v="3216730"/>
    <n v="68"/>
    <n v="455677"/>
    <x v="283"/>
    <n v="0.4"/>
    <n v="362611.6"/>
  </r>
  <r>
    <s v="이영희"/>
    <s v="카메라"/>
    <x v="1"/>
    <s v="경상"/>
    <n v="1973851"/>
    <n v="84"/>
    <n v="177949"/>
    <x v="284"/>
    <n v="0.18"/>
    <n v="1363031.61"/>
  </r>
  <r>
    <s v="한지민"/>
    <s v="냉장고"/>
    <x v="4"/>
    <s v="광주"/>
    <n v="3688184"/>
    <n v="85"/>
    <n v="121004"/>
    <x v="285"/>
    <n v="0.26"/>
    <n v="2307099.34"/>
  </r>
  <r>
    <s v="강호동"/>
    <s v="헤드폰"/>
    <x v="2"/>
    <s v="광주"/>
    <n v="2775404"/>
    <n v="96"/>
    <n v="75728"/>
    <x v="286"/>
    <n v="0.41"/>
    <n v="481456.5"/>
  </r>
  <r>
    <s v="이영희"/>
    <s v="TV"/>
    <x v="4"/>
    <s v="대전"/>
    <n v="3098783"/>
    <n v="6"/>
    <n v="216955"/>
    <x v="287"/>
    <n v="0.19"/>
    <n v="2166460.92"/>
  </r>
  <r>
    <s v="이지은"/>
    <s v="냉장고"/>
    <x v="1"/>
    <s v="서울"/>
    <n v="1142727"/>
    <n v="58"/>
    <n v="244187"/>
    <x v="288"/>
    <n v="0.13"/>
    <n v="2293314.02"/>
  </r>
  <r>
    <s v="김철수"/>
    <s v="헤드폰"/>
    <x v="6"/>
    <s v="부산"/>
    <n v="3386415"/>
    <n v="66"/>
    <n v="97321"/>
    <x v="289"/>
    <n v="0.49"/>
    <n v="3210636.63"/>
  </r>
  <r>
    <s v="최준혁"/>
    <s v="냉장고"/>
    <x v="0"/>
    <s v="전라"/>
    <n v="679871"/>
    <n v="15"/>
    <n v="139026"/>
    <x v="231"/>
    <n v="0.03"/>
    <n v="2250669.2599999998"/>
  </r>
  <r>
    <s v="이지은"/>
    <s v="카메라"/>
    <x v="6"/>
    <s v="강원"/>
    <n v="4161705"/>
    <n v="64"/>
    <n v="37821"/>
    <x v="290"/>
    <n v="0.35"/>
    <n v="826502.62"/>
  </r>
  <r>
    <s v="이지은"/>
    <s v="전자레인지"/>
    <x v="6"/>
    <s v="광주"/>
    <n v="4096044"/>
    <n v="76"/>
    <n v="63773"/>
    <x v="291"/>
    <n v="0.19"/>
    <n v="1505591.84"/>
  </r>
  <r>
    <s v="송하나"/>
    <s v="세탁기"/>
    <x v="4"/>
    <s v="광주"/>
    <n v="3487479"/>
    <n v="33"/>
    <n v="209497"/>
    <x v="249"/>
    <n v="0.01"/>
    <n v="1066229.3999999999"/>
  </r>
  <r>
    <s v="이지은"/>
    <s v="전자레인지"/>
    <x v="4"/>
    <s v="서울"/>
    <n v="2470150"/>
    <n v="40"/>
    <n v="473506"/>
    <x v="292"/>
    <n v="0.13"/>
    <n v="2197660.9"/>
  </r>
  <r>
    <s v="정우성"/>
    <s v="냉장고"/>
    <x v="3"/>
    <s v="강원"/>
    <n v="4275359"/>
    <n v="69"/>
    <n v="484967"/>
    <x v="102"/>
    <n v="0.04"/>
    <n v="569821.15"/>
  </r>
  <r>
    <s v="이영희"/>
    <s v="스마트폰"/>
    <x v="6"/>
    <s v="광주"/>
    <n v="307811"/>
    <n v="39"/>
    <n v="46824"/>
    <x v="40"/>
    <n v="0.33"/>
    <n v="550851.36"/>
  </r>
  <r>
    <s v="한지민"/>
    <s v="세탁기"/>
    <x v="5"/>
    <s v="울산"/>
    <n v="4093408"/>
    <n v="75"/>
    <n v="247128"/>
    <x v="293"/>
    <n v="0.36"/>
    <n v="1923870.96"/>
  </r>
  <r>
    <s v="정우성"/>
    <s v="스마트워치"/>
    <x v="1"/>
    <s v="대구"/>
    <n v="2855395"/>
    <n v="78"/>
    <n v="490057"/>
    <x v="294"/>
    <n v="0.35"/>
    <n v="2395228.4700000002"/>
  </r>
  <r>
    <s v="강호동"/>
    <s v="스마트워치"/>
    <x v="6"/>
    <s v="경기"/>
    <n v="2412550"/>
    <n v="94"/>
    <n v="172918"/>
    <x v="295"/>
    <n v="0.14000000000000001"/>
    <n v="1061941.92"/>
  </r>
  <r>
    <s v="이영희"/>
    <s v="헤드폰"/>
    <x v="0"/>
    <s v="인천"/>
    <n v="3872723"/>
    <n v="1"/>
    <n v="400159"/>
    <x v="84"/>
    <n v="0.28000000000000003"/>
    <n v="1334006.67"/>
  </r>
  <r>
    <s v="박민수"/>
    <s v="카메라"/>
    <x v="6"/>
    <s v="광주"/>
    <n v="4609292"/>
    <n v="1"/>
    <n v="282751"/>
    <x v="296"/>
    <n v="0.11"/>
    <n v="2764962.2"/>
  </r>
  <r>
    <s v="박민수"/>
    <s v="TV"/>
    <x v="2"/>
    <s v="경기"/>
    <n v="3502414"/>
    <n v="78"/>
    <n v="99911"/>
    <x v="26"/>
    <n v="0.48"/>
    <n v="1526029.92"/>
  </r>
  <r>
    <s v="김철수"/>
    <s v="TV"/>
    <x v="4"/>
    <s v="강원"/>
    <n v="3664373"/>
    <n v="22"/>
    <n v="356062"/>
    <x v="297"/>
    <n v="0.17"/>
    <n v="4061198.96"/>
  </r>
  <r>
    <s v="이영희"/>
    <s v="헤드폰"/>
    <x v="3"/>
    <s v="전라"/>
    <n v="556040"/>
    <n v="17"/>
    <n v="396659"/>
    <x v="298"/>
    <n v="0.02"/>
    <n v="2432241.7599999998"/>
  </r>
  <r>
    <s v="정우성"/>
    <s v="카메라"/>
    <x v="3"/>
    <s v="부산"/>
    <n v="44075"/>
    <n v="80"/>
    <n v="24688"/>
    <x v="299"/>
    <n v="0.41"/>
    <n v="3695464.08"/>
  </r>
  <r>
    <s v="송하나"/>
    <s v="태블릿"/>
    <x v="3"/>
    <s v="강원"/>
    <n v="4572955"/>
    <n v="19"/>
    <n v="491150"/>
    <x v="34"/>
    <n v="0.11"/>
    <n v="2158056.48"/>
  </r>
  <r>
    <s v="송하나"/>
    <s v="태블릿"/>
    <x v="0"/>
    <s v="경기"/>
    <n v="3303394"/>
    <n v="5"/>
    <n v="151449"/>
    <x v="300"/>
    <n v="0.42"/>
    <n v="4211432"/>
  </r>
  <r>
    <s v="정우성"/>
    <s v="스마트워치"/>
    <x v="4"/>
    <s v="전라"/>
    <n v="3858322"/>
    <n v="73"/>
    <n v="294174"/>
    <x v="301"/>
    <n v="0.38"/>
    <n v="4483848.88"/>
  </r>
  <r>
    <s v="유재석"/>
    <s v="헤드폰"/>
    <x v="2"/>
    <s v="대전"/>
    <n v="626533"/>
    <n v="29"/>
    <n v="445813"/>
    <x v="302"/>
    <n v="0.23"/>
    <n v="883844.94"/>
  </r>
  <r>
    <s v="정우성"/>
    <s v="TV"/>
    <x v="0"/>
    <s v="서울"/>
    <n v="656087"/>
    <n v="24"/>
    <n v="135032"/>
    <x v="244"/>
    <n v="0.08"/>
    <n v="1001404.22"/>
  </r>
  <r>
    <s v="정우성"/>
    <s v="스마트워치"/>
    <x v="2"/>
    <s v="경상"/>
    <n v="4362049"/>
    <n v="53"/>
    <n v="36293"/>
    <x v="303"/>
    <n v="0.14000000000000001"/>
    <n v="1038744.63"/>
  </r>
  <r>
    <s v="최준혁"/>
    <s v="전자레인지"/>
    <x v="3"/>
    <s v="충청"/>
    <n v="1546186"/>
    <n v="56"/>
    <n v="376115"/>
    <x v="304"/>
    <n v="0.15"/>
    <n v="1468225.55"/>
  </r>
  <r>
    <s v="송하나"/>
    <s v="세탁기"/>
    <x v="4"/>
    <s v="제주"/>
    <n v="258391"/>
    <n v="57"/>
    <n v="92970"/>
    <x v="305"/>
    <n v="0.39"/>
    <n v="2934268.47"/>
  </r>
  <r>
    <s v="김철수"/>
    <s v="카메라"/>
    <x v="5"/>
    <s v="대전"/>
    <n v="4566084"/>
    <n v="83"/>
    <n v="153791"/>
    <x v="306"/>
    <n v="0.02"/>
    <n v="2789066.28"/>
  </r>
  <r>
    <s v="이영희"/>
    <s v="헤드폰"/>
    <x v="4"/>
    <s v="부산"/>
    <n v="3114960"/>
    <n v="85"/>
    <n v="141387"/>
    <x v="307"/>
    <n v="0.03"/>
    <n v="1761474.06"/>
  </r>
  <r>
    <s v="강호동"/>
    <s v="헤드폰"/>
    <x v="6"/>
    <s v="대전"/>
    <n v="3211562"/>
    <n v="98"/>
    <n v="396043"/>
    <x v="308"/>
    <n v="0.38"/>
    <n v="608127.36"/>
  </r>
  <r>
    <s v="정우성"/>
    <s v="스마트폰"/>
    <x v="3"/>
    <s v="부산"/>
    <n v="1902944"/>
    <n v="91"/>
    <n v="283574"/>
    <x v="139"/>
    <n v="0.42"/>
    <n v="2248335.0299999998"/>
  </r>
  <r>
    <s v="유재석"/>
    <s v="전자레인지"/>
    <x v="2"/>
    <s v="제주"/>
    <n v="1291083"/>
    <n v="65"/>
    <n v="478969"/>
    <x v="309"/>
    <n v="0.43"/>
    <n v="2171441.86"/>
  </r>
  <r>
    <s v="박민수"/>
    <s v="카메라"/>
    <x v="6"/>
    <s v="경상"/>
    <n v="3962122"/>
    <n v="13"/>
    <n v="428765"/>
    <x v="310"/>
    <n v="0.39"/>
    <n v="1078974.1599999999"/>
  </r>
  <r>
    <s v="김철수"/>
    <s v="카메라"/>
    <x v="2"/>
    <s v="서울"/>
    <n v="621552"/>
    <n v="90"/>
    <n v="430163"/>
    <x v="163"/>
    <n v="0.43"/>
    <n v="2688309.25"/>
  </r>
  <r>
    <s v="이지은"/>
    <s v="냉장고"/>
    <x v="3"/>
    <s v="강원"/>
    <n v="562780"/>
    <n v="83"/>
    <n v="411016"/>
    <x v="311"/>
    <n v="0.12"/>
    <n v="860459.56"/>
  </r>
  <r>
    <s v="정우성"/>
    <s v="세탁기"/>
    <x v="5"/>
    <s v="강원"/>
    <n v="2980128"/>
    <n v="16"/>
    <n v="277282"/>
    <x v="219"/>
    <n v="0.25"/>
    <n v="826377.33"/>
  </r>
  <r>
    <s v="송하나"/>
    <s v="헤드폰"/>
    <x v="3"/>
    <s v="경상"/>
    <n v="1457778"/>
    <n v="87"/>
    <n v="95445"/>
    <x v="33"/>
    <n v="0.25"/>
    <n v="2279454.87"/>
  </r>
  <r>
    <s v="이지은"/>
    <s v="헤드폰"/>
    <x v="5"/>
    <s v="강원"/>
    <n v="1351898"/>
    <n v="52"/>
    <n v="448513"/>
    <x v="312"/>
    <n v="0.1"/>
    <n v="3103119"/>
  </r>
  <r>
    <s v="정우성"/>
    <s v="세탁기"/>
    <x v="3"/>
    <s v="전라"/>
    <n v="518470"/>
    <n v="78"/>
    <n v="102630"/>
    <x v="36"/>
    <n v="0.2"/>
    <n v="3875436.64"/>
  </r>
  <r>
    <s v="박민수"/>
    <s v="TV"/>
    <x v="0"/>
    <s v="경상"/>
    <n v="1901095"/>
    <n v="58"/>
    <n v="498772"/>
    <x v="313"/>
    <n v="0.35"/>
    <n v="36940.28"/>
  </r>
  <r>
    <s v="이영희"/>
    <s v="스마트폰"/>
    <x v="4"/>
    <s v="전라"/>
    <n v="786215"/>
    <n v="100"/>
    <n v="370405"/>
    <x v="142"/>
    <n v="0.37"/>
    <n v="320410.2"/>
  </r>
  <r>
    <s v="이영희"/>
    <s v="TV"/>
    <x v="2"/>
    <s v="대전"/>
    <n v="495189"/>
    <n v="76"/>
    <n v="384445"/>
    <x v="314"/>
    <n v="0.09"/>
    <n v="314038.68"/>
  </r>
  <r>
    <s v="송하나"/>
    <s v="전자레인지"/>
    <x v="3"/>
    <s v="제주"/>
    <n v="1274391"/>
    <n v="33"/>
    <n v="66782"/>
    <x v="315"/>
    <n v="0.4"/>
    <n v="4377237.0999999996"/>
  </r>
  <r>
    <s v="한지민"/>
    <s v="TV"/>
    <x v="4"/>
    <s v="대전"/>
    <n v="298403"/>
    <n v="55"/>
    <n v="275447"/>
    <x v="157"/>
    <n v="0"/>
    <n v="599524.71"/>
  </r>
  <r>
    <s v="유재석"/>
    <s v="냉장고"/>
    <x v="1"/>
    <s v="경상"/>
    <n v="4198709"/>
    <n v="99"/>
    <n v="488205"/>
    <x v="176"/>
    <n v="0.3"/>
    <n v="493472"/>
  </r>
  <r>
    <s v="유재석"/>
    <s v="카메라"/>
    <x v="0"/>
    <s v="광주"/>
    <n v="4772800"/>
    <n v="52"/>
    <n v="187090"/>
    <x v="316"/>
    <n v="0.49"/>
    <n v="2856043.54"/>
  </r>
  <r>
    <s v="김철수"/>
    <s v="전자레인지"/>
    <x v="4"/>
    <s v="경기"/>
    <n v="3524190"/>
    <n v="80"/>
    <n v="456843"/>
    <x v="6"/>
    <n v="0.1"/>
    <n v="2258208.7999999998"/>
  </r>
  <r>
    <s v="최준혁"/>
    <s v="스마트워치"/>
    <x v="2"/>
    <s v="경기"/>
    <n v="917232"/>
    <n v="6"/>
    <n v="136470"/>
    <x v="317"/>
    <n v="0.38"/>
    <n v="3364584.44"/>
  </r>
  <r>
    <s v="정우성"/>
    <s v="스마트폰"/>
    <x v="0"/>
    <s v="서울"/>
    <n v="2833360"/>
    <n v="4"/>
    <n v="306957"/>
    <x v="318"/>
    <n v="0.37"/>
    <n v="1658613.74"/>
  </r>
  <r>
    <s v="박민수"/>
    <s v="노트북"/>
    <x v="2"/>
    <s v="광주"/>
    <n v="2898386"/>
    <n v="48"/>
    <n v="318892"/>
    <x v="319"/>
    <n v="0.2"/>
    <n v="2734682.72"/>
  </r>
  <r>
    <s v="송하나"/>
    <s v="스마트폰"/>
    <x v="0"/>
    <s v="충청"/>
    <n v="3348747"/>
    <n v="36"/>
    <n v="132005"/>
    <x v="320"/>
    <n v="0.44"/>
    <n v="889791.98"/>
  </r>
  <r>
    <s v="유재석"/>
    <s v="노트북"/>
    <x v="6"/>
    <s v="대구"/>
    <n v="485296"/>
    <n v="92"/>
    <n v="15535"/>
    <x v="321"/>
    <n v="0.49"/>
    <n v="1448163.14"/>
  </r>
  <r>
    <s v="한지민"/>
    <s v="헤드폰"/>
    <x v="6"/>
    <s v="강원"/>
    <n v="4953431"/>
    <n v="1"/>
    <n v="440170"/>
    <x v="166"/>
    <n v="0.28000000000000003"/>
    <n v="2039513.77"/>
  </r>
  <r>
    <s v="김철수"/>
    <s v="전자레인지"/>
    <x v="5"/>
    <s v="전라"/>
    <n v="2656052"/>
    <n v="18"/>
    <n v="463387"/>
    <x v="322"/>
    <n v="0.38"/>
    <n v="1760643.84"/>
  </r>
  <r>
    <s v="강호동"/>
    <s v="노트북"/>
    <x v="0"/>
    <s v="서울"/>
    <n v="2807148"/>
    <n v="73"/>
    <n v="444026"/>
    <x v="24"/>
    <n v="0.16"/>
    <n v="3395475.28"/>
  </r>
  <r>
    <s v="이지은"/>
    <s v="카메라"/>
    <x v="4"/>
    <s v="경상"/>
    <n v="2150210"/>
    <n v="29"/>
    <n v="16889"/>
    <x v="323"/>
    <n v="0.09"/>
    <n v="2816084.25"/>
  </r>
  <r>
    <s v="최준혁"/>
    <s v="태블릿"/>
    <x v="6"/>
    <s v="울산"/>
    <n v="4780192"/>
    <n v="51"/>
    <n v="249280"/>
    <x v="324"/>
    <n v="0.34"/>
    <n v="1056003.96"/>
  </r>
  <r>
    <s v="한지민"/>
    <s v="스마트폰"/>
    <x v="5"/>
    <s v="강원"/>
    <n v="4256553"/>
    <n v="62"/>
    <n v="82773"/>
    <x v="325"/>
    <n v="0.26"/>
    <n v="229229.6"/>
  </r>
  <r>
    <s v="강호동"/>
    <s v="TV"/>
    <x v="2"/>
    <s v="울산"/>
    <n v="4767263"/>
    <n v="33"/>
    <n v="476210"/>
    <x v="326"/>
    <n v="0.39"/>
    <n v="1379070.5"/>
  </r>
  <r>
    <s v="강호동"/>
    <s v="전자레인지"/>
    <x v="5"/>
    <s v="대구"/>
    <n v="1300919"/>
    <n v="73"/>
    <n v="37514"/>
    <x v="327"/>
    <n v="0.4"/>
    <n v="161088"/>
  </r>
  <r>
    <s v="김철수"/>
    <s v="냉장고"/>
    <x v="4"/>
    <s v="강원"/>
    <n v="1784771"/>
    <n v="56"/>
    <n v="71553"/>
    <x v="328"/>
    <n v="0.25"/>
    <n v="3147610.72"/>
  </r>
  <r>
    <s v="유재석"/>
    <s v="세탁기"/>
    <x v="0"/>
    <s v="경상"/>
    <n v="3559409"/>
    <n v="9"/>
    <n v="497114"/>
    <x v="115"/>
    <n v="0.39"/>
    <n v="2299937.7599999998"/>
  </r>
  <r>
    <s v="정우성"/>
    <s v="세탁기"/>
    <x v="2"/>
    <s v="충청"/>
    <n v="4846328"/>
    <n v="38"/>
    <n v="277013"/>
    <x v="329"/>
    <n v="0.17"/>
    <n v="2490723.2000000002"/>
  </r>
  <r>
    <s v="김철수"/>
    <s v="스마트워치"/>
    <x v="6"/>
    <s v="충청"/>
    <n v="1171669"/>
    <n v="32"/>
    <n v="303492"/>
    <x v="330"/>
    <n v="0.18"/>
    <n v="3449165.4"/>
  </r>
  <r>
    <s v="유재석"/>
    <s v="냉장고"/>
    <x v="0"/>
    <s v="서울"/>
    <n v="3061892"/>
    <n v="9"/>
    <n v="448335"/>
    <x v="331"/>
    <n v="0.41"/>
    <n v="572004"/>
  </r>
  <r>
    <s v="이영희"/>
    <s v="전자레인지"/>
    <x v="5"/>
    <s v="강원"/>
    <n v="4950050"/>
    <n v="53"/>
    <n v="122943"/>
    <x v="52"/>
    <n v="0.03"/>
    <n v="1426236.9"/>
  </r>
  <r>
    <s v="강호동"/>
    <s v="세탁기"/>
    <x v="1"/>
    <s v="강원"/>
    <n v="336413"/>
    <n v="34"/>
    <n v="322004"/>
    <x v="332"/>
    <n v="0.26"/>
    <n v="407099.1"/>
  </r>
  <r>
    <s v="박민수"/>
    <s v="전자레인지"/>
    <x v="0"/>
    <s v="서울"/>
    <n v="2620778"/>
    <n v="14"/>
    <n v="254155"/>
    <x v="67"/>
    <n v="0.04"/>
    <n v="2568418.2000000002"/>
  </r>
  <r>
    <s v="정우성"/>
    <s v="태블릿"/>
    <x v="6"/>
    <s v="대구"/>
    <n v="4395598"/>
    <n v="66"/>
    <n v="499429"/>
    <x v="333"/>
    <n v="0.01"/>
    <n v="1779583.68"/>
  </r>
  <r>
    <s v="유재석"/>
    <s v="TV"/>
    <x v="2"/>
    <s v="제주"/>
    <n v="3894271"/>
    <n v="45"/>
    <n v="15682"/>
    <x v="334"/>
    <n v="0.4"/>
    <n v="2768882.46"/>
  </r>
  <r>
    <s v="이영희"/>
    <s v="태블릿"/>
    <x v="5"/>
    <s v="인천"/>
    <n v="2781781"/>
    <n v="86"/>
    <n v="47575"/>
    <x v="335"/>
    <n v="0.41"/>
    <n v="1883027.63"/>
  </r>
  <r>
    <s v="송하나"/>
    <s v="노트북"/>
    <x v="4"/>
    <s v="경기"/>
    <n v="3274235"/>
    <n v="94"/>
    <n v="311964"/>
    <x v="336"/>
    <n v="0.24"/>
    <n v="2580848"/>
  </r>
  <r>
    <s v="박민수"/>
    <s v="스마트워치"/>
    <x v="3"/>
    <s v="경기"/>
    <n v="4892888"/>
    <n v="22"/>
    <n v="80823"/>
    <x v="337"/>
    <n v="0.46"/>
    <n v="1513268.46"/>
  </r>
  <r>
    <s v="송하나"/>
    <s v="TV"/>
    <x v="3"/>
    <s v="전라"/>
    <n v="2768108"/>
    <n v="53"/>
    <n v="299894"/>
    <x v="338"/>
    <n v="0.3"/>
    <n v="2389628.2400000002"/>
  </r>
  <r>
    <s v="김철수"/>
    <s v="세탁기"/>
    <x v="0"/>
    <s v="전라"/>
    <n v="4998864"/>
    <n v="97"/>
    <n v="155150"/>
    <x v="339"/>
    <n v="0.12"/>
    <n v="444298.23"/>
  </r>
  <r>
    <s v="최준혁"/>
    <s v="전자레인지"/>
    <x v="6"/>
    <s v="강원"/>
    <n v="4355262"/>
    <n v="46"/>
    <n v="154094"/>
    <x v="340"/>
    <n v="0.25"/>
    <n v="581452.19999999995"/>
  </r>
  <r>
    <s v="한지민"/>
    <s v="전자레인지"/>
    <x v="1"/>
    <s v="경상"/>
    <n v="2178885"/>
    <n v="47"/>
    <n v="464162"/>
    <x v="341"/>
    <n v="0.46"/>
    <n v="2572062.2000000002"/>
  </r>
  <r>
    <s v="송하나"/>
    <s v="전자레인지"/>
    <x v="6"/>
    <s v="강원"/>
    <n v="1356091"/>
    <n v="31"/>
    <n v="258938"/>
    <x v="342"/>
    <n v="0.28000000000000003"/>
    <n v="3654235.13"/>
  </r>
  <r>
    <s v="한지민"/>
    <s v="태블릿"/>
    <x v="0"/>
    <s v="충청"/>
    <n v="2587435"/>
    <n v="59"/>
    <n v="298348"/>
    <x v="343"/>
    <n v="0.03"/>
    <n v="4658526.04"/>
  </r>
  <r>
    <s v="최준혁"/>
    <s v="카메라"/>
    <x v="5"/>
    <s v="서울"/>
    <n v="430342"/>
    <n v="19"/>
    <n v="280809"/>
    <x v="238"/>
    <n v="0.06"/>
    <n v="211945.92"/>
  </r>
  <r>
    <s v="이영희"/>
    <s v="카메라"/>
    <x v="1"/>
    <s v="경기"/>
    <n v="559890"/>
    <n v="42"/>
    <n v="111030"/>
    <x v="344"/>
    <n v="0.15"/>
    <n v="1222411"/>
  </r>
  <r>
    <s v="유재석"/>
    <s v="세탁기"/>
    <x v="4"/>
    <s v="대구"/>
    <n v="320859"/>
    <n v="73"/>
    <n v="282962"/>
    <x v="345"/>
    <n v="0.39"/>
    <n v="3025361.98"/>
  </r>
  <r>
    <s v="최준혁"/>
    <s v="세탁기"/>
    <x v="5"/>
    <s v="충청"/>
    <n v="1017166"/>
    <n v="7"/>
    <n v="482751"/>
    <x v="346"/>
    <n v="0.21"/>
    <n v="2999627.25"/>
  </r>
  <r>
    <s v="최준혁"/>
    <s v="스마트폰"/>
    <x v="6"/>
    <s v="대구"/>
    <n v="4155592"/>
    <n v="83"/>
    <n v="58302"/>
    <x v="347"/>
    <n v="0.24"/>
    <n v="4366400.78"/>
  </r>
  <r>
    <s v="강호동"/>
    <s v="스마트폰"/>
    <x v="5"/>
    <s v="대구"/>
    <n v="404000"/>
    <n v="74"/>
    <n v="188483"/>
    <x v="348"/>
    <n v="0.27"/>
    <n v="1005601.48"/>
  </r>
  <r>
    <s v="한지민"/>
    <s v="냉장고"/>
    <x v="2"/>
    <s v="울산"/>
    <n v="3700626"/>
    <n v="49"/>
    <n v="148450"/>
    <x v="71"/>
    <n v="0.4"/>
    <n v="985456.29"/>
  </r>
  <r>
    <s v="이지은"/>
    <s v="태블릿"/>
    <x v="0"/>
    <s v="경기"/>
    <n v="2114743"/>
    <n v="86"/>
    <n v="492727"/>
    <x v="349"/>
    <n v="0.13"/>
    <n v="706734.6"/>
  </r>
  <r>
    <s v="최준혁"/>
    <s v="카메라"/>
    <x v="6"/>
    <s v="광주"/>
    <n v="1869975"/>
    <n v="36"/>
    <n v="462523"/>
    <x v="350"/>
    <n v="0.16"/>
    <n v="268834.56"/>
  </r>
  <r>
    <s v="이지은"/>
    <s v="전자레인지"/>
    <x v="6"/>
    <s v="울산"/>
    <n v="2100727"/>
    <n v="69"/>
    <n v="254134"/>
    <x v="351"/>
    <n v="0.47"/>
    <n v="412530.03"/>
  </r>
  <r>
    <s v="강호동"/>
    <s v="스마트워치"/>
    <x v="5"/>
    <s v="전라"/>
    <n v="3843048"/>
    <n v="11"/>
    <n v="133400"/>
    <x v="80"/>
    <n v="0.41"/>
    <n v="157448.12"/>
  </r>
  <r>
    <s v="이영희"/>
    <s v="카메라"/>
    <x v="3"/>
    <s v="대구"/>
    <n v="581968"/>
    <n v="34"/>
    <n v="484772"/>
    <x v="352"/>
    <n v="0.06"/>
    <n v="994590.21"/>
  </r>
  <r>
    <s v="박민수"/>
    <s v="전자레인지"/>
    <x v="0"/>
    <s v="전라"/>
    <n v="4337794"/>
    <n v="78"/>
    <n v="344584"/>
    <x v="353"/>
    <n v="0.1"/>
    <n v="2675842.4700000002"/>
  </r>
  <r>
    <s v="한지민"/>
    <s v="세탁기"/>
    <x v="0"/>
    <s v="부산"/>
    <n v="4396047"/>
    <n v="32"/>
    <n v="253445"/>
    <x v="354"/>
    <n v="0.28000000000000003"/>
    <n v="1370679.24"/>
  </r>
  <r>
    <s v="한지민"/>
    <s v="스마트폰"/>
    <x v="4"/>
    <s v="강원"/>
    <n v="4411245"/>
    <n v="5"/>
    <n v="226806"/>
    <x v="355"/>
    <n v="0.13"/>
    <n v="2444233.5499999998"/>
  </r>
  <r>
    <s v="정우성"/>
    <s v="TV"/>
    <x v="1"/>
    <s v="경상"/>
    <n v="1794977"/>
    <n v="24"/>
    <n v="313706"/>
    <x v="234"/>
    <n v="0.44"/>
    <n v="2343036.08"/>
  </r>
  <r>
    <s v="정우성"/>
    <s v="스마트폰"/>
    <x v="1"/>
    <s v="부산"/>
    <n v="4829894"/>
    <n v="39"/>
    <n v="409049"/>
    <x v="356"/>
    <n v="0.19"/>
    <n v="3815480.76"/>
  </r>
  <r>
    <s v="김철수"/>
    <s v="태블릿"/>
    <x v="1"/>
    <s v="대전"/>
    <n v="3839192"/>
    <n v="67"/>
    <n v="161264"/>
    <x v="82"/>
    <n v="0.44"/>
    <n v="1558862.8"/>
  </r>
  <r>
    <s v="정우성"/>
    <s v="세탁기"/>
    <x v="2"/>
    <s v="전라"/>
    <n v="4707171"/>
    <n v="3"/>
    <n v="239902"/>
    <x v="357"/>
    <n v="0.19"/>
    <n v="3149544.06"/>
  </r>
  <r>
    <s v="최준혁"/>
    <s v="전자레인지"/>
    <x v="6"/>
    <s v="부산"/>
    <n v="3454885"/>
    <n v="95"/>
    <n v="235339"/>
    <x v="358"/>
    <n v="0.46"/>
    <n v="1223030.3999999999"/>
  </r>
  <r>
    <s v="유재석"/>
    <s v="헤드폰"/>
    <x v="1"/>
    <s v="경기"/>
    <n v="4624233"/>
    <n v="3"/>
    <n v="408800"/>
    <x v="47"/>
    <n v="0.14000000000000001"/>
    <n v="1764291.07"/>
  </r>
  <r>
    <s v="박민수"/>
    <s v="헤드폰"/>
    <x v="6"/>
    <s v="대전"/>
    <n v="4454400"/>
    <n v="38"/>
    <n v="487418"/>
    <x v="203"/>
    <n v="0.44"/>
    <n v="820391.44"/>
  </r>
  <r>
    <s v="최준혁"/>
    <s v="세탁기"/>
    <x v="1"/>
    <s v="광주"/>
    <n v="1810705"/>
    <n v="97"/>
    <n v="390103"/>
    <x v="359"/>
    <n v="0.33"/>
    <n v="1328997.8500000001"/>
  </r>
  <r>
    <s v="강호동"/>
    <s v="헤드폰"/>
    <x v="5"/>
    <s v="광주"/>
    <n v="3154142"/>
    <n v="54"/>
    <n v="210350"/>
    <x v="206"/>
    <n v="0.36"/>
    <n v="1081429.1100000001"/>
  </r>
  <r>
    <s v="정우성"/>
    <s v="전자레인지"/>
    <x v="3"/>
    <s v="충청"/>
    <n v="2506799"/>
    <n v="37"/>
    <n v="471768"/>
    <x v="360"/>
    <n v="0.01"/>
    <n v="2355413.64"/>
  </r>
  <r>
    <s v="유재석"/>
    <s v="태블릿"/>
    <x v="2"/>
    <s v="인천"/>
    <n v="4566231"/>
    <n v="83"/>
    <n v="251414"/>
    <x v="294"/>
    <n v="0.31"/>
    <n v="1707321"/>
  </r>
  <r>
    <s v="이영희"/>
    <s v="TV"/>
    <x v="1"/>
    <s v="울산"/>
    <n v="1131171"/>
    <n v="89"/>
    <n v="295566"/>
    <x v="361"/>
    <n v="0.11"/>
    <n v="125974.17"/>
  </r>
  <r>
    <s v="이영희"/>
    <s v="냉장고"/>
    <x v="4"/>
    <s v="전라"/>
    <n v="46030"/>
    <n v="41"/>
    <n v="369016"/>
    <x v="148"/>
    <n v="0.08"/>
    <n v="1654447.68"/>
  </r>
  <r>
    <s v="한지민"/>
    <s v="카메라"/>
    <x v="2"/>
    <s v="경기"/>
    <n v="1769440"/>
    <n v="73"/>
    <n v="247245"/>
    <x v="356"/>
    <n v="0.05"/>
    <n v="2015502.3"/>
  </r>
  <r>
    <s v="유재석"/>
    <s v="태블릿"/>
    <x v="3"/>
    <s v="울산"/>
    <n v="3093717"/>
    <n v="73"/>
    <n v="170823"/>
    <x v="243"/>
    <n v="0.22"/>
    <n v="1981394.87"/>
  </r>
  <r>
    <s v="강호동"/>
    <s v="전자레인지"/>
    <x v="0"/>
    <s v="강원"/>
    <n v="3122957"/>
    <n v="58"/>
    <n v="31569"/>
    <x v="47"/>
    <n v="0.31"/>
    <n v="1007617.02"/>
  </r>
  <r>
    <s v="이영희"/>
    <s v="카메라"/>
    <x v="6"/>
    <s v="인천"/>
    <n v="952928"/>
    <n v="8"/>
    <n v="338761"/>
    <x v="362"/>
    <n v="0.23"/>
    <n v="3262223.97"/>
  </r>
  <r>
    <s v="김철수"/>
    <s v="노트북"/>
    <x v="3"/>
    <s v="경상"/>
    <n v="2188659"/>
    <n v="4"/>
    <n v="34340"/>
    <x v="253"/>
    <n v="0.31"/>
    <n v="2387361.6"/>
  </r>
  <r>
    <s v="유재석"/>
    <s v="냉장고"/>
    <x v="3"/>
    <s v="전라"/>
    <n v="149742"/>
    <n v="37"/>
    <n v="189398"/>
    <x v="363"/>
    <n v="0.26"/>
    <n v="2326398.56"/>
  </r>
  <r>
    <s v="한지민"/>
    <s v="헤드폰"/>
    <x v="6"/>
    <s v="충청"/>
    <n v="2961861"/>
    <n v="46"/>
    <n v="99329"/>
    <x v="27"/>
    <n v="0.04"/>
    <n v="2309505.48"/>
  </r>
  <r>
    <s v="송하나"/>
    <s v="태블릿"/>
    <x v="2"/>
    <s v="울산"/>
    <n v="74031"/>
    <n v="34"/>
    <n v="98493"/>
    <x v="309"/>
    <n v="0.31"/>
    <n v="1104210.3799999999"/>
  </r>
  <r>
    <s v="이영희"/>
    <s v="스마트워치"/>
    <x v="0"/>
    <s v="경상"/>
    <n v="4740844"/>
    <n v="43"/>
    <n v="130886"/>
    <x v="179"/>
    <n v="0.02"/>
    <n v="495469.22"/>
  </r>
  <r>
    <s v="박민수"/>
    <s v="전자레인지"/>
    <x v="1"/>
    <s v="서울"/>
    <n v="3551747"/>
    <n v="85"/>
    <n v="385070"/>
    <x v="364"/>
    <n v="0.31"/>
    <n v="3836306.04"/>
  </r>
  <r>
    <s v="송하나"/>
    <s v="태블릿"/>
    <x v="4"/>
    <s v="인천"/>
    <n v="3191882"/>
    <n v="37"/>
    <n v="236959"/>
    <x v="272"/>
    <n v="0.08"/>
    <n v="1954804.83"/>
  </r>
  <r>
    <s v="한지민"/>
    <s v="헤드폰"/>
    <x v="6"/>
    <s v="제주"/>
    <n v="1937960"/>
    <n v="90"/>
    <n v="192141"/>
    <x v="365"/>
    <n v="0.35"/>
    <n v="665845.09"/>
  </r>
  <r>
    <s v="김철수"/>
    <s v="헤드폰"/>
    <x v="6"/>
    <s v="제주"/>
    <n v="4489556"/>
    <n v="1"/>
    <n v="420364"/>
    <x v="50"/>
    <n v="0.2"/>
    <n v="1062097.6200000001"/>
  </r>
  <r>
    <s v="송하나"/>
    <s v="세탁기"/>
    <x v="2"/>
    <s v="인천"/>
    <n v="1335481"/>
    <n v="99"/>
    <n v="317578"/>
    <x v="366"/>
    <n v="0.13"/>
    <n v="3632753.75"/>
  </r>
  <r>
    <s v="김철수"/>
    <s v="전자레인지"/>
    <x v="0"/>
    <s v="강원"/>
    <n v="4422279"/>
    <n v="97"/>
    <n v="9578"/>
    <x v="367"/>
    <n v="0.06"/>
    <n v="4372847.3"/>
  </r>
  <r>
    <s v="강호동"/>
    <s v="TV"/>
    <x v="2"/>
    <s v="경기"/>
    <n v="4150656"/>
    <n v="37"/>
    <n v="7897"/>
    <x v="368"/>
    <n v="0.06"/>
    <n v="3703030.02"/>
  </r>
  <r>
    <s v="김철수"/>
    <s v="헤드폰"/>
    <x v="3"/>
    <s v="울산"/>
    <n v="4056531"/>
    <n v="52"/>
    <n v="329920"/>
    <x v="369"/>
    <n v="0.35"/>
    <n v="1898782.38"/>
  </r>
  <r>
    <s v="이영희"/>
    <s v="냉장고"/>
    <x v="5"/>
    <s v="경기"/>
    <n v="2832812"/>
    <n v="68"/>
    <n v="456684"/>
    <x v="306"/>
    <n v="0.37"/>
    <n v="958562.99"/>
  </r>
  <r>
    <s v="정우성"/>
    <s v="카메라"/>
    <x v="3"/>
    <s v="울산"/>
    <n v="3270804"/>
    <n v="8"/>
    <n v="229578"/>
    <x v="370"/>
    <n v="0.4"/>
    <n v="368075.5"/>
  </r>
  <r>
    <s v="유재석"/>
    <s v="냉장고"/>
    <x v="0"/>
    <s v="대전"/>
    <n v="3345329"/>
    <n v="34"/>
    <n v="495896"/>
    <x v="236"/>
    <n v="0.36"/>
    <n v="79703.91"/>
  </r>
  <r>
    <s v="최준혁"/>
    <s v="전자레인지"/>
    <x v="5"/>
    <s v="경상"/>
    <n v="2930047"/>
    <n v="21"/>
    <n v="154467"/>
    <x v="371"/>
    <n v="0.15"/>
    <n v="1265879.52"/>
  </r>
  <r>
    <s v="정우성"/>
    <s v="노트북"/>
    <x v="6"/>
    <s v="강원"/>
    <n v="2164416"/>
    <n v="76"/>
    <n v="176912"/>
    <x v="372"/>
    <n v="0.16"/>
    <n v="3671737.65"/>
  </r>
  <r>
    <s v="최준혁"/>
    <s v="헤드폰"/>
    <x v="4"/>
    <s v="경기"/>
    <n v="1172722"/>
    <n v="9"/>
    <n v="266206"/>
    <x v="373"/>
    <n v="0.24"/>
    <n v="684388.5"/>
  </r>
  <r>
    <s v="박민수"/>
    <s v="태블릿"/>
    <x v="6"/>
    <s v="전라"/>
    <n v="2433039"/>
    <n v="68"/>
    <n v="128021"/>
    <x v="374"/>
    <n v="0.16"/>
    <n v="1756654.06"/>
  </r>
  <r>
    <s v="최준혁"/>
    <s v="스마트폰"/>
    <x v="5"/>
    <s v="인천"/>
    <n v="4309677"/>
    <n v="19"/>
    <n v="259987"/>
    <x v="49"/>
    <n v="0.22"/>
    <n v="66304.56"/>
  </r>
  <r>
    <s v="강호동"/>
    <s v="세탁기"/>
    <x v="3"/>
    <s v="울산"/>
    <n v="4822249"/>
    <n v="23"/>
    <n v="292742"/>
    <x v="95"/>
    <n v="0.41"/>
    <n v="25802.06"/>
  </r>
  <r>
    <s v="이영희"/>
    <s v="노트북"/>
    <x v="4"/>
    <s v="대구"/>
    <n v="4542331"/>
    <n v="85"/>
    <n v="35665"/>
    <x v="375"/>
    <n v="0.44"/>
    <n v="2015338.65"/>
  </r>
  <r>
    <s v="최준혁"/>
    <s v="세탁기"/>
    <x v="2"/>
    <s v="경상"/>
    <n v="2426809"/>
    <n v="35"/>
    <n v="228394"/>
    <x v="84"/>
    <n v="0.25"/>
    <n v="3540575.5"/>
  </r>
  <r>
    <s v="이지은"/>
    <s v="스마트워치"/>
    <x v="5"/>
    <s v="인천"/>
    <n v="964105"/>
    <n v="97"/>
    <n v="38407"/>
    <x v="376"/>
    <n v="0.18"/>
    <n v="2209670.1"/>
  </r>
  <r>
    <s v="최준혁"/>
    <s v="냉장고"/>
    <x v="1"/>
    <s v="광주"/>
    <n v="3218341"/>
    <n v="98"/>
    <n v="375742"/>
    <x v="257"/>
    <n v="0.18"/>
    <n v="3143082.16"/>
  </r>
  <r>
    <s v="이지은"/>
    <s v="카메라"/>
    <x v="2"/>
    <s v="전라"/>
    <n v="1670274"/>
    <n v="57"/>
    <n v="407541"/>
    <x v="172"/>
    <n v="0.42"/>
    <n v="3542650.34"/>
  </r>
  <r>
    <s v="송하나"/>
    <s v="노트북"/>
    <x v="4"/>
    <s v="서울"/>
    <n v="3738451"/>
    <n v="71"/>
    <n v="390183"/>
    <x v="377"/>
    <n v="0.34"/>
    <n v="2469948.4700000002"/>
  </r>
  <r>
    <s v="이영희"/>
    <s v="노트북"/>
    <x v="2"/>
    <s v="대전"/>
    <n v="2925782"/>
    <n v="90"/>
    <n v="26905"/>
    <x v="378"/>
    <n v="0.49"/>
    <n v="304624.26"/>
  </r>
  <r>
    <s v="박민수"/>
    <s v="태블릿"/>
    <x v="4"/>
    <s v="대전"/>
    <n v="1245391"/>
    <n v="67"/>
    <n v="167495"/>
    <x v="379"/>
    <n v="0.28999999999999998"/>
    <n v="2100036.84"/>
  </r>
  <r>
    <s v="김철수"/>
    <s v="TV"/>
    <x v="2"/>
    <s v="대구"/>
    <n v="4200850"/>
    <n v="90"/>
    <n v="386328"/>
    <x v="380"/>
    <n v="0.28999999999999998"/>
    <n v="3139960.56"/>
  </r>
  <r>
    <s v="유재석"/>
    <s v="TV"/>
    <x v="0"/>
    <s v="광주"/>
    <n v="2125392"/>
    <n v="5"/>
    <n v="91219"/>
    <x v="381"/>
    <n v="0.35"/>
    <n v="1569330"/>
  </r>
  <r>
    <s v="강호동"/>
    <s v="헤드폰"/>
    <x v="4"/>
    <s v="전라"/>
    <n v="3828828"/>
    <n v="24"/>
    <n v="433534"/>
    <x v="85"/>
    <n v="0.28000000000000003"/>
    <n v="1152518"/>
  </r>
  <r>
    <s v="송하나"/>
    <s v="태블릿"/>
    <x v="6"/>
    <s v="제주"/>
    <n v="4446749"/>
    <n v="53"/>
    <n v="420392"/>
    <x v="83"/>
    <n v="0.38"/>
    <n v="1084605.72"/>
  </r>
  <r>
    <s v="이영희"/>
    <s v="스마트폰"/>
    <x v="5"/>
    <s v="인천"/>
    <n v="1546620"/>
    <n v="92"/>
    <n v="154973"/>
    <x v="382"/>
    <n v="0.19"/>
    <n v="2620883.4300000002"/>
  </r>
  <r>
    <s v="박민수"/>
    <s v="노트북"/>
    <x v="5"/>
    <s v="서울"/>
    <n v="2685830"/>
    <n v="75"/>
    <n v="238703"/>
    <x v="383"/>
    <n v="0.18"/>
    <n v="1978256.43"/>
  </r>
  <r>
    <s v="송하나"/>
    <s v="노트북"/>
    <x v="6"/>
    <s v="광주"/>
    <n v="1738479"/>
    <n v="19"/>
    <n v="357308"/>
    <x v="384"/>
    <n v="0.42"/>
    <n v="1615731"/>
  </r>
  <r>
    <s v="이지은"/>
    <s v="카메라"/>
    <x v="3"/>
    <s v="울산"/>
    <n v="718608"/>
    <n v="60"/>
    <n v="84604"/>
    <x v="385"/>
    <n v="0.44"/>
    <n v="285163.59000000003"/>
  </r>
  <r>
    <s v="최준혁"/>
    <s v="TV"/>
    <x v="6"/>
    <s v="울산"/>
    <n v="1000655"/>
    <n v="96"/>
    <n v="208262"/>
    <x v="386"/>
    <n v="0.35"/>
    <n v="2150331.75"/>
  </r>
  <r>
    <s v="이지은"/>
    <s v="스마트워치"/>
    <x v="1"/>
    <s v="인천"/>
    <n v="4389187"/>
    <n v="30"/>
    <n v="95692"/>
    <x v="210"/>
    <n v="0.37"/>
    <n v="1115228.3999999999"/>
  </r>
  <r>
    <s v="정우성"/>
    <s v="헤드폰"/>
    <x v="0"/>
    <s v="강원"/>
    <n v="2894963"/>
    <n v="6"/>
    <n v="451690"/>
    <x v="380"/>
    <n v="0.47"/>
    <n v="926567.49"/>
  </r>
  <r>
    <s v="송하나"/>
    <s v="헤드폰"/>
    <x v="3"/>
    <s v="경기"/>
    <n v="1809792"/>
    <n v="97"/>
    <n v="286982"/>
    <x v="216"/>
    <n v="0.5"/>
    <n v="1296754.51"/>
  </r>
  <r>
    <s v="김철수"/>
    <s v="노트북"/>
    <x v="5"/>
    <s v="대구"/>
    <n v="55936"/>
    <n v="80"/>
    <n v="430811"/>
    <x v="387"/>
    <n v="0.12"/>
    <n v="2798292.45"/>
  </r>
  <r>
    <s v="유재석"/>
    <s v="전자레인지"/>
    <x v="2"/>
    <s v="경상"/>
    <n v="1312052"/>
    <n v="12"/>
    <n v="130508"/>
    <x v="66"/>
    <n v="0.48"/>
    <n v="78402.55"/>
  </r>
  <r>
    <s v="한지민"/>
    <s v="스마트워치"/>
    <x v="0"/>
    <s v="강원"/>
    <n v="945854"/>
    <n v="30"/>
    <n v="113549"/>
    <x v="103"/>
    <n v="0.49"/>
    <n v="1414740.6"/>
  </r>
  <r>
    <s v="박민수"/>
    <s v="냉장고"/>
    <x v="3"/>
    <s v="충청"/>
    <n v="3729752"/>
    <n v="65"/>
    <n v="257746"/>
    <x v="388"/>
    <n v="0.33"/>
    <n v="933321.39"/>
  </r>
  <r>
    <s v="송하나"/>
    <s v="세탁기"/>
    <x v="0"/>
    <s v="대구"/>
    <n v="4014413"/>
    <n v="4"/>
    <n v="338162"/>
    <x v="389"/>
    <n v="0.39"/>
    <n v="2334372.54"/>
  </r>
  <r>
    <s v="김철수"/>
    <s v="노트북"/>
    <x v="2"/>
    <s v="대전"/>
    <n v="2939411"/>
    <n v="94"/>
    <n v="90005"/>
    <x v="390"/>
    <n v="0.02"/>
    <n v="1749383.91"/>
  </r>
  <r>
    <s v="유재석"/>
    <s v="전자레인지"/>
    <x v="4"/>
    <s v="경기"/>
    <n v="3661161"/>
    <n v="91"/>
    <n v="239632"/>
    <x v="391"/>
    <n v="7.0000000000000007E-2"/>
    <n v="1079133.93"/>
  </r>
  <r>
    <s v="유재석"/>
    <s v="세탁기"/>
    <x v="0"/>
    <s v="인천"/>
    <n v="1031654"/>
    <n v="83"/>
    <n v="464968"/>
    <x v="392"/>
    <n v="0.4"/>
    <n v="3454983"/>
  </r>
  <r>
    <s v="김철수"/>
    <s v="카메라"/>
    <x v="6"/>
    <s v="대구"/>
    <n v="2106977"/>
    <n v="32"/>
    <n v="292555"/>
    <x v="134"/>
    <n v="0.25"/>
    <n v="2884876.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T001"/>
    <x v="0"/>
    <s v="매출"/>
    <s v="제품 A 판매"/>
    <n v="3200000"/>
  </r>
  <r>
    <s v="T002"/>
    <x v="1"/>
    <s v="매출"/>
    <s v="제품 B 판매"/>
    <n v="2400000"/>
  </r>
  <r>
    <s v="T003"/>
    <x v="2"/>
    <s v="비용"/>
    <s v="마케팅 비용"/>
    <n v="-1200000"/>
  </r>
  <r>
    <s v="T004"/>
    <x v="3"/>
    <s v="비용"/>
    <s v="광고비"/>
    <n v="-800000"/>
  </r>
  <r>
    <s v="T005"/>
    <x v="4"/>
    <s v="매출"/>
    <s v="제품 C 판매"/>
    <n v="5000000"/>
  </r>
  <r>
    <s v="T006"/>
    <x v="5"/>
    <s v="비용"/>
    <s v="인건비 지급"/>
    <n v="-3000000"/>
  </r>
  <r>
    <s v="T007"/>
    <x v="6"/>
    <s v="매출"/>
    <s v="신제품 출시"/>
    <n v="4800000"/>
  </r>
  <r>
    <s v="T008"/>
    <x v="7"/>
    <s v="매출"/>
    <s v="추가 제품 판매"/>
    <n v="3500000"/>
  </r>
  <r>
    <s v="T009"/>
    <x v="8"/>
    <s v="비용"/>
    <s v="창고 유지비"/>
    <n v="-600000"/>
  </r>
  <r>
    <s v="T010"/>
    <x v="9"/>
    <s v="비용"/>
    <s v="세금 납부"/>
    <n v="-2500000"/>
  </r>
  <r>
    <s v="T011"/>
    <x v="10"/>
    <s v="매출"/>
    <s v="대량 주문"/>
    <n v="6700000"/>
  </r>
  <r>
    <s v="T012"/>
    <x v="11"/>
    <s v="비용"/>
    <s v="R&amp;D 투자"/>
    <n v="-4500000"/>
  </r>
  <r>
    <s v="T013"/>
    <x v="12"/>
    <s v="매출"/>
    <s v="신규 고객 유입"/>
    <n v="3900000"/>
  </r>
  <r>
    <s v="T014"/>
    <x v="13"/>
    <s v="비용"/>
    <s v="추가 인건비"/>
    <n v="-1700000"/>
  </r>
  <r>
    <s v="T015"/>
    <x v="14"/>
    <s v="매출"/>
    <s v="프리미엄 제품 판매"/>
    <n v="5600000"/>
  </r>
  <r>
    <s v="T016"/>
    <x v="15"/>
    <s v="비용"/>
    <s v="장비 구입"/>
    <n v="-3200000"/>
  </r>
  <r>
    <s v="T017"/>
    <x v="16"/>
    <s v="매출"/>
    <s v="해외 시장 매출"/>
    <n v="7200000"/>
  </r>
  <r>
    <s v="T018"/>
    <x v="17"/>
    <s v="비용"/>
    <s v="운영 비용"/>
    <n v="-2100000"/>
  </r>
  <r>
    <s v="T019"/>
    <x v="18"/>
    <s v="매출"/>
    <s v="프로모션 이벤트"/>
    <n v="4300000"/>
  </r>
  <r>
    <s v="T020"/>
    <x v="19"/>
    <s v="비용"/>
    <s v="사무실 임대료"/>
    <n v="-1900000"/>
  </r>
  <r>
    <s v="T021"/>
    <x v="20"/>
    <s v="매출"/>
    <s v="연말 프로모션"/>
    <n v="5800000"/>
  </r>
  <r>
    <s v="T022"/>
    <x v="21"/>
    <s v="비용"/>
    <s v="유지보수 비용"/>
    <n v="-1200000"/>
  </r>
  <r>
    <s v="T023"/>
    <x v="22"/>
    <s v="매출"/>
    <s v="VIP 고객 판매"/>
    <n v="6400000"/>
  </r>
  <r>
    <s v="T024"/>
    <x v="23"/>
    <s v="비용"/>
    <s v="세금 정산"/>
    <n v="-2800000"/>
  </r>
  <r>
    <s v="T025"/>
    <x v="24"/>
    <s v="매출"/>
    <s v="연말 대량 판매"/>
    <n v="9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유재석"/>
    <s v="냉장고"/>
    <s v="가전"/>
    <s v="서울"/>
    <n v="861211"/>
    <n v="96"/>
    <n v="80611"/>
    <d v="2022-05-03T00:00:00"/>
    <x v="0"/>
    <n v="920333.04"/>
  </r>
  <r>
    <s v="김철수"/>
    <s v="스마트폰"/>
    <s v="가전"/>
    <s v="부산"/>
    <n v="1118870"/>
    <n v="59"/>
    <n v="16478"/>
    <d v="2022-01-08T00:00:00"/>
    <x v="1"/>
    <n v="617364.39"/>
  </r>
  <r>
    <s v="정우성"/>
    <s v="전자레인지"/>
    <s v="오디오"/>
    <s v="부산"/>
    <n v="2156014"/>
    <n v="20"/>
    <n v="117588"/>
    <d v="2023-02-11T00:00:00"/>
    <x v="2"/>
    <n v="795395.52"/>
  </r>
  <r>
    <s v="최준혁"/>
    <s v="냉장고"/>
    <s v="오디오"/>
    <s v="서울"/>
    <n v="4539351"/>
    <n v="20"/>
    <n v="431168"/>
    <d v="2024-09-02T00:00:00"/>
    <x v="3"/>
    <n v="1276152.46"/>
  </r>
  <r>
    <s v="유재석"/>
    <s v="노트북"/>
    <s v="컴퓨터"/>
    <s v="전라"/>
    <n v="1050132"/>
    <n v="55"/>
    <n v="50209"/>
    <d v="2022-03-09T00:00:00"/>
    <x v="4"/>
    <n v="3374022.28"/>
  </r>
  <r>
    <s v="유재석"/>
    <s v="스마트워치"/>
    <s v="생활가전"/>
    <s v="부산"/>
    <n v="4805725"/>
    <n v="71"/>
    <n v="2560"/>
    <d v="2022-01-11T00:00:00"/>
    <x v="5"/>
    <n v="1600411.98"/>
  </r>
  <r>
    <s v="이지은"/>
    <s v="노트북"/>
    <s v="전자제품"/>
    <s v="대구"/>
    <n v="2523822"/>
    <n v="35"/>
    <n v="298700"/>
    <d v="2022-04-15T00:00:00"/>
    <x v="6"/>
    <n v="2009741.76"/>
  </r>
  <r>
    <s v="김철수"/>
    <s v="스마트워치"/>
    <s v="컴퓨터"/>
    <s v="인천"/>
    <n v="603228"/>
    <n v="75"/>
    <n v="168597"/>
    <d v="2022-01-12T00:00:00"/>
    <x v="7"/>
    <n v="541009.43999999994"/>
  </r>
  <r>
    <s v="최준혁"/>
    <s v="헤드폰"/>
    <s v="생활가전"/>
    <s v="충청"/>
    <n v="3920665"/>
    <n v="77"/>
    <n v="333393"/>
    <d v="2023-03-15T00:00:00"/>
    <x v="7"/>
    <n v="1408342.08"/>
  </r>
  <r>
    <s v="송하나"/>
    <s v="냉장고"/>
    <s v="생활가전"/>
    <s v="부산"/>
    <n v="2300862"/>
    <n v="51"/>
    <n v="226845"/>
    <d v="2023-09-26T00:00:00"/>
    <x v="8"/>
    <n v="1752319.2"/>
  </r>
  <r>
    <s v="유재석"/>
    <s v="TV"/>
    <s v="전자제품"/>
    <s v="경기"/>
    <n v="994915"/>
    <n v="52"/>
    <n v="160697"/>
    <d v="2023-02-17T00:00:00"/>
    <x v="9"/>
    <n v="210786.71"/>
  </r>
  <r>
    <s v="유재석"/>
    <s v="스마트워치"/>
    <s v="컴퓨터"/>
    <s v="대전"/>
    <n v="586391"/>
    <n v="76"/>
    <n v="112153"/>
    <d v="2022-10-14T00:00:00"/>
    <x v="10"/>
    <n v="50580"/>
  </r>
  <r>
    <s v="강호동"/>
    <s v="스마트폰"/>
    <s v="모바일"/>
    <s v="부산"/>
    <n v="2130912"/>
    <n v="25"/>
    <n v="275809"/>
    <d v="2022-08-16T00:00:00"/>
    <x v="11"/>
    <n v="3055064.32"/>
  </r>
  <r>
    <s v="강호동"/>
    <s v="세탁기"/>
    <s v="카메라"/>
    <s v="광주"/>
    <n v="2713130"/>
    <n v="54"/>
    <n v="243012"/>
    <d v="2024-12-20T00:00:00"/>
    <x v="12"/>
    <n v="2066000.72"/>
  </r>
  <r>
    <s v="이영희"/>
    <s v="세탁기"/>
    <s v="가전"/>
    <s v="전라"/>
    <n v="808568"/>
    <n v="24"/>
    <n v="456771"/>
    <d v="2023-06-18T00:00:00"/>
    <x v="13"/>
    <n v="1196733.3999999999"/>
  </r>
  <r>
    <s v="정우성"/>
    <s v="스마트워치"/>
    <s v="오디오"/>
    <s v="부산"/>
    <n v="3086430"/>
    <n v="22"/>
    <n v="299659"/>
    <d v="2022-04-07T00:00:00"/>
    <x v="14"/>
    <n v="418409.64"/>
  </r>
  <r>
    <s v="송하나"/>
    <s v="카메라"/>
    <s v="가전"/>
    <s v="경상"/>
    <n v="4249078"/>
    <n v="18"/>
    <n v="157389"/>
    <d v="2023-12-22T00:00:00"/>
    <x v="15"/>
    <n v="2390881.7999999998"/>
  </r>
  <r>
    <s v="이지은"/>
    <s v="스마트워치"/>
    <s v="가전"/>
    <s v="부산"/>
    <n v="1825475"/>
    <n v="36"/>
    <n v="333350"/>
    <d v="2024-11-04T00:00:00"/>
    <x v="16"/>
    <n v="1854706.12"/>
  </r>
  <r>
    <s v="이지은"/>
    <s v="노트북"/>
    <s v="오디오"/>
    <s v="광주"/>
    <n v="2044411"/>
    <n v="33"/>
    <n v="386112"/>
    <d v="2022-08-01T00:00:00"/>
    <x v="17"/>
    <n v="2312092.7200000002"/>
  </r>
  <r>
    <s v="이지은"/>
    <s v="세탁기"/>
    <s v="모바일"/>
    <s v="강원"/>
    <n v="2105761"/>
    <n v="64"/>
    <n v="78948"/>
    <d v="2023-12-04T00:00:00"/>
    <x v="7"/>
    <n v="23983.05"/>
  </r>
  <r>
    <s v="송하나"/>
    <s v="헤드폰"/>
    <s v="생활가전"/>
    <s v="인천"/>
    <n v="4897155"/>
    <n v="69"/>
    <n v="318532"/>
    <d v="2022-07-02T00:00:00"/>
    <x v="10"/>
    <n v="1244687.25"/>
  </r>
  <r>
    <s v="송하나"/>
    <s v="노트북"/>
    <s v="가전"/>
    <s v="울산"/>
    <n v="3246622"/>
    <n v="70"/>
    <n v="204652"/>
    <d v="2024-02-08T00:00:00"/>
    <x v="7"/>
    <n v="1087602.6000000001"/>
  </r>
  <r>
    <s v="이영희"/>
    <s v="전자레인지"/>
    <s v="생활가전"/>
    <s v="경기"/>
    <n v="1069605"/>
    <n v="39"/>
    <n v="47902"/>
    <d v="2024-01-04T00:00:00"/>
    <x v="18"/>
    <n v="3447808.4"/>
  </r>
  <r>
    <s v="유재석"/>
    <s v="태블릿"/>
    <s v="전자제품"/>
    <s v="서울"/>
    <n v="4561637"/>
    <n v="16"/>
    <n v="91208"/>
    <d v="2022-12-09T00:00:00"/>
    <x v="19"/>
    <n v="1238477.8799999999"/>
  </r>
  <r>
    <s v="이지은"/>
    <s v="TV"/>
    <s v="가전"/>
    <s v="경상"/>
    <n v="2749600"/>
    <n v="79"/>
    <n v="331016"/>
    <d v="2023-09-12T00:00:00"/>
    <x v="20"/>
    <n v="353556.63"/>
  </r>
  <r>
    <s v="김철수"/>
    <s v="전자레인지"/>
    <s v="가전"/>
    <s v="인천"/>
    <n v="3651270"/>
    <n v="57"/>
    <n v="323644"/>
    <d v="2024-12-21T00:00:00"/>
    <x v="15"/>
    <n v="658268.52"/>
  </r>
  <r>
    <s v="김철수"/>
    <s v="냉장고"/>
    <s v="컴퓨터"/>
    <s v="충청"/>
    <n v="3961691"/>
    <n v="52"/>
    <n v="266834"/>
    <d v="2023-12-27T00:00:00"/>
    <x v="5"/>
    <n v="1043209.5"/>
  </r>
  <r>
    <s v="김철수"/>
    <s v="노트북"/>
    <s v="가전"/>
    <s v="대구"/>
    <n v="1835725"/>
    <n v="67"/>
    <n v="291816"/>
    <d v="2024-06-04T00:00:00"/>
    <x v="17"/>
    <n v="3067831.77"/>
  </r>
  <r>
    <s v="송하나"/>
    <s v="전자레인지"/>
    <s v="모바일"/>
    <s v="울산"/>
    <n v="3922417"/>
    <n v="79"/>
    <n v="312498"/>
    <d v="2023-05-27T00:00:00"/>
    <x v="21"/>
    <n v="1093755.8999999999"/>
  </r>
  <r>
    <s v="김철수"/>
    <s v="스마트폰"/>
    <s v="전자제품"/>
    <s v="충청"/>
    <n v="4772527"/>
    <n v="15"/>
    <n v="132183"/>
    <d v="2023-03-26T00:00:00"/>
    <x v="21"/>
    <n v="333222.89"/>
  </r>
  <r>
    <s v="이영희"/>
    <s v="노트북"/>
    <s v="카메라"/>
    <s v="경기"/>
    <n v="4340492"/>
    <n v="48"/>
    <n v="189575"/>
    <d v="2023-08-11T00:00:00"/>
    <x v="3"/>
    <n v="1667168.96"/>
  </r>
  <r>
    <s v="송하나"/>
    <s v="태블릿"/>
    <s v="컴퓨터"/>
    <s v="경기"/>
    <n v="1910421"/>
    <n v="9"/>
    <n v="34228"/>
    <d v="2024-03-07T00:00:00"/>
    <x v="22"/>
    <n v="1591237.44"/>
  </r>
  <r>
    <s v="이지은"/>
    <s v="스마트폰"/>
    <s v="컴퓨터"/>
    <s v="강원"/>
    <n v="1201586"/>
    <n v="68"/>
    <n v="59535"/>
    <d v="2024-06-08T00:00:00"/>
    <x v="23"/>
    <n v="2311118.7200000002"/>
  </r>
  <r>
    <s v="정우성"/>
    <s v="스마트폰"/>
    <s v="생활가전"/>
    <s v="대전"/>
    <n v="1125765"/>
    <n v="68"/>
    <n v="175734"/>
    <d v="2022-02-23T00:00:00"/>
    <x v="24"/>
    <n v="2000016.48"/>
  </r>
  <r>
    <s v="김철수"/>
    <s v="스마트워치"/>
    <s v="가전"/>
    <s v="부산"/>
    <n v="4530523"/>
    <n v="36"/>
    <n v="38106"/>
    <d v="2024-08-28T00:00:00"/>
    <x v="25"/>
    <n v="2723328.85"/>
  </r>
  <r>
    <s v="한지민"/>
    <s v="냉장고"/>
    <s v="컴퓨터"/>
    <s v="전라"/>
    <n v="4218622"/>
    <n v="68"/>
    <n v="58595"/>
    <d v="2023-04-12T00:00:00"/>
    <x v="14"/>
    <n v="2498169.4"/>
  </r>
  <r>
    <s v="송하나"/>
    <s v="스마트워치"/>
    <s v="가전"/>
    <s v="서울"/>
    <n v="4087798"/>
    <n v="19"/>
    <n v="302910"/>
    <d v="2022-09-12T00:00:00"/>
    <x v="2"/>
    <n v="691933.68"/>
  </r>
  <r>
    <s v="정우성"/>
    <s v="태블릿"/>
    <s v="카메라"/>
    <s v="경기"/>
    <n v="4541060"/>
    <n v="90"/>
    <n v="186740"/>
    <d v="2023-12-06T00:00:00"/>
    <x v="26"/>
    <n v="2970157.12"/>
  </r>
  <r>
    <s v="김철수"/>
    <s v="태블릿"/>
    <s v="가전"/>
    <s v="강원"/>
    <n v="2834665"/>
    <n v="36"/>
    <n v="117715"/>
    <d v="2024-11-06T00:00:00"/>
    <x v="9"/>
    <n v="1706114.9"/>
  </r>
  <r>
    <s v="한지민"/>
    <s v="TV"/>
    <s v="가전"/>
    <s v="울산"/>
    <n v="1011183"/>
    <n v="4"/>
    <n v="226263"/>
    <d v="2024-12-13T00:00:00"/>
    <x v="27"/>
    <n v="1951570.4"/>
  </r>
  <r>
    <s v="최준혁"/>
    <s v="TV"/>
    <s v="카메라"/>
    <s v="부산"/>
    <n v="3698239"/>
    <n v="88"/>
    <n v="473654"/>
    <d v="2022-07-26T00:00:00"/>
    <x v="27"/>
    <n v="3642141.72"/>
  </r>
  <r>
    <s v="박민수"/>
    <s v="전자레인지"/>
    <s v="가전"/>
    <s v="충청"/>
    <n v="2627265"/>
    <n v="94"/>
    <n v="132037"/>
    <d v="2022-07-24T00:00:00"/>
    <x v="13"/>
    <n v="2440073.6800000002"/>
  </r>
  <r>
    <s v="김철수"/>
    <s v="노트북"/>
    <s v="모바일"/>
    <s v="광주"/>
    <n v="4895055"/>
    <n v="8"/>
    <n v="166734"/>
    <d v="2022-12-05T00:00:00"/>
    <x v="28"/>
    <n v="1294133.51"/>
  </r>
  <r>
    <s v="정우성"/>
    <s v="냉장고"/>
    <s v="전자제품"/>
    <s v="전라"/>
    <n v="632679"/>
    <n v="12"/>
    <n v="495313"/>
    <d v="2022-08-08T00:00:00"/>
    <x v="29"/>
    <n v="2779206.97"/>
  </r>
  <r>
    <s v="이지은"/>
    <s v="스마트워치"/>
    <s v="생활가전"/>
    <s v="경기"/>
    <n v="3168502"/>
    <n v="50"/>
    <n v="425082"/>
    <d v="2023-04-17T00:00:00"/>
    <x v="27"/>
    <n v="2451117.5099999998"/>
  </r>
  <r>
    <s v="유재석"/>
    <s v="카메라"/>
    <s v="가전"/>
    <s v="광주"/>
    <n v="2043711"/>
    <n v="98"/>
    <n v="59932"/>
    <d v="2024-11-19T00:00:00"/>
    <x v="23"/>
    <n v="572404.44999999995"/>
  </r>
  <r>
    <s v="강호동"/>
    <s v="태블릿"/>
    <s v="모바일"/>
    <s v="울산"/>
    <n v="263042"/>
    <n v="35"/>
    <n v="187740"/>
    <d v="2023-03-22T00:00:00"/>
    <x v="23"/>
    <n v="4265399.5999999996"/>
  </r>
  <r>
    <s v="강호동"/>
    <s v="스마트폰"/>
    <s v="생활가전"/>
    <s v="경기"/>
    <n v="3237190"/>
    <n v="61"/>
    <n v="397151"/>
    <d v="2023-05-07T00:00:00"/>
    <x v="3"/>
    <n v="455937.21"/>
  </r>
  <r>
    <s v="송하나"/>
    <s v="TV"/>
    <s v="오디오"/>
    <s v="충청"/>
    <n v="322971"/>
    <n v="22"/>
    <n v="296623"/>
    <d v="2022-01-03T00:00:00"/>
    <x v="20"/>
    <n v="792440.04"/>
  </r>
  <r>
    <s v="유재석"/>
    <s v="스마트폰"/>
    <s v="오디오"/>
    <s v="대전"/>
    <n v="398263"/>
    <n v="17"/>
    <n v="175223"/>
    <d v="2022-12-13T00:00:00"/>
    <x v="30"/>
    <n v="3367811.52"/>
  </r>
  <r>
    <s v="김철수"/>
    <s v="스마트워치"/>
    <s v="전자제품"/>
    <s v="광주"/>
    <n v="2815940"/>
    <n v="76"/>
    <n v="496631"/>
    <d v="2024-05-05T00:00:00"/>
    <x v="20"/>
    <n v="486623.19"/>
  </r>
  <r>
    <s v="정우성"/>
    <s v="전자레인지"/>
    <s v="오디오"/>
    <s v="인천"/>
    <n v="3062185"/>
    <n v="77"/>
    <n v="168392"/>
    <d v="2024-11-09T00:00:00"/>
    <x v="31"/>
    <n v="3008686.35"/>
  </r>
  <r>
    <s v="이지은"/>
    <s v="TV"/>
    <s v="모바일"/>
    <s v="경기"/>
    <n v="2696142"/>
    <n v="25"/>
    <n v="377050"/>
    <d v="2023-06-03T00:00:00"/>
    <x v="23"/>
    <n v="4499549.67"/>
  </r>
  <r>
    <s v="박민수"/>
    <s v="스마트폰"/>
    <s v="카메라"/>
    <s v="경상"/>
    <n v="3976701"/>
    <n v="94"/>
    <n v="304628"/>
    <d v="2023-04-20T00:00:00"/>
    <x v="26"/>
    <n v="34202.559999999998"/>
  </r>
  <r>
    <s v="이지은"/>
    <s v="스마트폰"/>
    <s v="카메라"/>
    <s v="경상"/>
    <n v="1251490"/>
    <n v="63"/>
    <n v="244952"/>
    <d v="2024-01-02T00:00:00"/>
    <x v="32"/>
    <n v="2841143.8"/>
  </r>
  <r>
    <s v="이지은"/>
    <s v="스마트폰"/>
    <s v="전자제품"/>
    <s v="강원"/>
    <n v="3186092"/>
    <n v="28"/>
    <n v="45883"/>
    <d v="2023-03-27T00:00:00"/>
    <x v="32"/>
    <n v="1597649.48"/>
  </r>
  <r>
    <s v="정우성"/>
    <s v="냉장고"/>
    <s v="가전"/>
    <s v="제주"/>
    <n v="1129378"/>
    <n v="24"/>
    <n v="443033"/>
    <d v="2024-05-27T00:00:00"/>
    <x v="16"/>
    <n v="48775.23"/>
  </r>
  <r>
    <s v="이지은"/>
    <s v="태블릿"/>
    <s v="모바일"/>
    <s v="전라"/>
    <n v="988504"/>
    <n v="26"/>
    <n v="46086"/>
    <d v="2024-09-04T00:00:00"/>
    <x v="16"/>
    <n v="475885.59"/>
  </r>
  <r>
    <s v="정우성"/>
    <s v="태블릿"/>
    <s v="모바일"/>
    <s v="경상"/>
    <n v="578200"/>
    <n v="51"/>
    <n v="331728"/>
    <d v="2024-03-16T00:00:00"/>
    <x v="5"/>
    <n v="1847979.09"/>
  </r>
  <r>
    <s v="정우성"/>
    <s v="스마트폰"/>
    <s v="모바일"/>
    <s v="전라"/>
    <n v="1172745"/>
    <n v="72"/>
    <n v="254002"/>
    <d v="2024-12-12T00:00:00"/>
    <x v="23"/>
    <n v="1616827.5"/>
  </r>
  <r>
    <s v="송하나"/>
    <s v="카메라"/>
    <s v="전자제품"/>
    <s v="경기"/>
    <n v="1613636"/>
    <n v="15"/>
    <n v="67291"/>
    <d v="2023-03-01T00:00:00"/>
    <x v="23"/>
    <n v="102538.6"/>
  </r>
  <r>
    <s v="유재석"/>
    <s v="TV"/>
    <s v="카메라"/>
    <s v="전라"/>
    <n v="3596489"/>
    <n v="1"/>
    <n v="421821"/>
    <d v="2022-01-21T00:00:00"/>
    <x v="33"/>
    <n v="4160082.24"/>
  </r>
  <r>
    <s v="한지민"/>
    <s v="스마트폰"/>
    <s v="생활가전"/>
    <s v="부산"/>
    <n v="3770161"/>
    <n v="11"/>
    <n v="11277"/>
    <d v="2022-12-02T00:00:00"/>
    <x v="13"/>
    <n v="782422.74"/>
  </r>
  <r>
    <s v="김철수"/>
    <s v="태블릿"/>
    <s v="오디오"/>
    <s v="충청"/>
    <n v="4254971"/>
    <n v="25"/>
    <n v="299812"/>
    <d v="2023-07-19T00:00:00"/>
    <x v="34"/>
    <n v="956425.68"/>
  </r>
  <r>
    <s v="박민수"/>
    <s v="전자레인지"/>
    <s v="생활가전"/>
    <s v="대구"/>
    <n v="4649520"/>
    <n v="83"/>
    <n v="272237"/>
    <d v="2023-05-02T00:00:00"/>
    <x v="24"/>
    <n v="1935015.38"/>
  </r>
  <r>
    <s v="최준혁"/>
    <s v="태블릿"/>
    <s v="전자제품"/>
    <s v="서울"/>
    <n v="2620750"/>
    <n v="72"/>
    <n v="164861"/>
    <d v="2023-06-18T00:00:00"/>
    <x v="5"/>
    <n v="710669.7"/>
  </r>
  <r>
    <s v="정우성"/>
    <s v="태블릿"/>
    <s v="오디오"/>
    <s v="대구"/>
    <n v="365784"/>
    <n v="28"/>
    <n v="440972"/>
    <d v="2023-01-13T00:00:00"/>
    <x v="35"/>
    <n v="2429316.83"/>
  </r>
  <r>
    <s v="강호동"/>
    <s v="스마트폰"/>
    <s v="카메라"/>
    <s v="부산"/>
    <n v="4464547"/>
    <n v="71"/>
    <n v="139218"/>
    <d v="2022-02-05T00:00:00"/>
    <x v="10"/>
    <n v="400177.12"/>
  </r>
  <r>
    <s v="이지은"/>
    <s v="스마트워치"/>
    <s v="전자제품"/>
    <s v="광주"/>
    <n v="3759110"/>
    <n v="29"/>
    <n v="406006"/>
    <d v="2022-03-04T00:00:00"/>
    <x v="36"/>
    <n v="1571627.4"/>
  </r>
  <r>
    <s v="박민수"/>
    <s v="TV"/>
    <s v="모바일"/>
    <s v="경상"/>
    <n v="3421190"/>
    <n v="99"/>
    <n v="337959"/>
    <d v="2023-05-14T00:00:00"/>
    <x v="33"/>
    <n v="375753.3"/>
  </r>
  <r>
    <s v="최준혁"/>
    <s v="노트북"/>
    <s v="오디오"/>
    <s v="경기"/>
    <n v="778844"/>
    <n v="20"/>
    <n v="261258"/>
    <d v="2023-06-05T00:00:00"/>
    <x v="11"/>
    <n v="58056.959999999999"/>
  </r>
  <r>
    <s v="정우성"/>
    <s v="세탁기"/>
    <s v="컴퓨터"/>
    <s v="대전"/>
    <n v="4071886"/>
    <n v="1"/>
    <n v="335716"/>
    <d v="2023-03-17T00:00:00"/>
    <x v="20"/>
    <n v="2616466.3199999998"/>
  </r>
  <r>
    <s v="김철수"/>
    <s v="TV"/>
    <s v="전자제품"/>
    <s v="서울"/>
    <n v="3655037"/>
    <n v="91"/>
    <n v="392328"/>
    <d v="2022-07-24T00:00:00"/>
    <x v="1"/>
    <n v="411964.5"/>
  </r>
  <r>
    <s v="김철수"/>
    <s v="태블릿"/>
    <s v="가전"/>
    <s v="부산"/>
    <n v="1796125"/>
    <n v="13"/>
    <n v="120252"/>
    <d v="2022-08-03T00:00:00"/>
    <x v="37"/>
    <n v="1619665.6"/>
  </r>
  <r>
    <s v="강호동"/>
    <s v="세탁기"/>
    <s v="컴퓨터"/>
    <s v="광주"/>
    <n v="566517"/>
    <n v="78"/>
    <n v="246116"/>
    <d v="2022-08-07T00:00:00"/>
    <x v="38"/>
    <n v="3817469.88"/>
  </r>
  <r>
    <s v="박민수"/>
    <s v="세탁기"/>
    <s v="가전"/>
    <s v="대전"/>
    <n v="690186"/>
    <n v="38"/>
    <n v="63419"/>
    <d v="2024-01-24T00:00:00"/>
    <x v="17"/>
    <n v="3625446.3"/>
  </r>
  <r>
    <s v="한지민"/>
    <s v="헤드폰"/>
    <s v="카메라"/>
    <s v="서울"/>
    <n v="972323"/>
    <n v="68"/>
    <n v="317047"/>
    <d v="2023-05-06T00:00:00"/>
    <x v="0"/>
    <n v="2990870.62"/>
  </r>
  <r>
    <s v="최준혁"/>
    <s v="노트북"/>
    <s v="전자제품"/>
    <s v="광주"/>
    <n v="1781254"/>
    <n v="34"/>
    <n v="322583"/>
    <d v="2023-02-15T00:00:00"/>
    <x v="30"/>
    <n v="2774457.42"/>
  </r>
  <r>
    <s v="이지은"/>
    <s v="노트북"/>
    <s v="생활가전"/>
    <s v="경상"/>
    <n v="3336894"/>
    <n v="89"/>
    <n v="440289"/>
    <d v="2024-08-19T00:00:00"/>
    <x v="1"/>
    <n v="1873492.8"/>
  </r>
  <r>
    <s v="강호동"/>
    <s v="노트북"/>
    <s v="전자제품"/>
    <s v="대구"/>
    <n v="4228397"/>
    <n v="53"/>
    <n v="450365"/>
    <d v="2024-10-08T00:00:00"/>
    <x v="24"/>
    <n v="1220364.72"/>
  </r>
  <r>
    <s v="최준혁"/>
    <s v="헤드폰"/>
    <s v="가전"/>
    <s v="부산"/>
    <n v="877360"/>
    <n v="75"/>
    <n v="135865"/>
    <d v="2024-06-11T00:00:00"/>
    <x v="21"/>
    <n v="1985937.6"/>
  </r>
  <r>
    <s v="이영희"/>
    <s v="헤드폰"/>
    <s v="모바일"/>
    <s v="인천"/>
    <n v="1539286"/>
    <n v="41"/>
    <n v="338461"/>
    <d v="2024-07-13T00:00:00"/>
    <x v="39"/>
    <n v="2989123.28"/>
  </r>
  <r>
    <s v="송하나"/>
    <s v="스마트워치"/>
    <s v="모바일"/>
    <s v="부산"/>
    <n v="1159008"/>
    <n v="13"/>
    <n v="251422"/>
    <d v="2022-12-14T00:00:00"/>
    <x v="0"/>
    <n v="3997411.97"/>
  </r>
  <r>
    <s v="강호동"/>
    <s v="헤드폰"/>
    <s v="전자제품"/>
    <s v="인천"/>
    <n v="3109010"/>
    <n v="67"/>
    <n v="473748"/>
    <d v="2022-04-01T00:00:00"/>
    <x v="17"/>
    <n v="170476.79999999999"/>
  </r>
  <r>
    <s v="강호동"/>
    <s v="스마트워치"/>
    <s v="오디오"/>
    <s v="경상"/>
    <n v="1654268"/>
    <n v="15"/>
    <n v="167622"/>
    <d v="2022-08-01T00:00:00"/>
    <x v="40"/>
    <n v="4069851.12"/>
  </r>
  <r>
    <s v="최준혁"/>
    <s v="카메라"/>
    <s v="가전"/>
    <s v="경기"/>
    <n v="1581278"/>
    <n v="19"/>
    <n v="170642"/>
    <d v="2024-06-15T00:00:00"/>
    <x v="27"/>
    <n v="3125850.26"/>
  </r>
  <r>
    <s v="김철수"/>
    <s v="TV"/>
    <s v="생활가전"/>
    <s v="전라"/>
    <n v="1467294"/>
    <n v="38"/>
    <n v="406333"/>
    <d v="2023-12-03T00:00:00"/>
    <x v="20"/>
    <n v="1235527.02"/>
  </r>
  <r>
    <s v="이영희"/>
    <s v="TV"/>
    <s v="가전"/>
    <s v="전라"/>
    <n v="1325168"/>
    <n v="57"/>
    <n v="106344"/>
    <d v="2023-09-02T00:00:00"/>
    <x v="6"/>
    <n v="386076.8"/>
  </r>
  <r>
    <s v="최준혁"/>
    <s v="카메라"/>
    <s v="모바일"/>
    <s v="강원"/>
    <n v="1182592"/>
    <n v="7"/>
    <n v="338608"/>
    <d v="2023-07-26T00:00:00"/>
    <x v="41"/>
    <n v="1538256.35"/>
  </r>
  <r>
    <s v="이지은"/>
    <s v="TV"/>
    <s v="컴퓨터"/>
    <s v="대전"/>
    <n v="2968505"/>
    <n v="75"/>
    <n v="215862"/>
    <d v="2022-03-24T00:00:00"/>
    <x v="42"/>
    <n v="3546849.67"/>
  </r>
  <r>
    <s v="한지민"/>
    <s v="스마트폰"/>
    <s v="모바일"/>
    <s v="경상"/>
    <n v="3615204"/>
    <n v="14"/>
    <n v="205768"/>
    <d v="2023-01-01T00:00:00"/>
    <x v="27"/>
    <n v="2768400.37"/>
  </r>
  <r>
    <s v="최준혁"/>
    <s v="스마트워치"/>
    <s v="가전"/>
    <s v="충청"/>
    <n v="958396"/>
    <n v="24"/>
    <n v="397863"/>
    <d v="2022-08-26T00:00:00"/>
    <x v="10"/>
    <n v="2119900.9"/>
  </r>
  <r>
    <s v="이지은"/>
    <s v="냉장고"/>
    <s v="전자제품"/>
    <s v="부산"/>
    <n v="4519052"/>
    <n v="68"/>
    <n v="217177"/>
    <d v="2023-12-18T00:00:00"/>
    <x v="3"/>
    <n v="3030934.76"/>
  </r>
  <r>
    <s v="한지민"/>
    <s v="노트북"/>
    <s v="생활가전"/>
    <s v="경상"/>
    <n v="3566024"/>
    <n v="81"/>
    <n v="165728"/>
    <d v="2023-12-19T00:00:00"/>
    <x v="5"/>
    <n v="3270681.6"/>
  </r>
  <r>
    <s v="이지은"/>
    <s v="스마트폰"/>
    <s v="모바일"/>
    <s v="인천"/>
    <n v="4322273"/>
    <n v="4"/>
    <n v="60152"/>
    <d v="2024-12-24T00:00:00"/>
    <x v="6"/>
    <n v="634198.41"/>
  </r>
  <r>
    <s v="강호동"/>
    <s v="전자레인지"/>
    <s v="가전"/>
    <s v="대전"/>
    <n v="493679"/>
    <n v="30"/>
    <n v="187267"/>
    <d v="2022-10-03T00:00:00"/>
    <x v="43"/>
    <n v="105230.84"/>
  </r>
  <r>
    <s v="이지은"/>
    <s v="스마트워치"/>
    <s v="컴퓨터"/>
    <s v="제주"/>
    <n v="1221531"/>
    <n v="50"/>
    <n v="487114"/>
    <d v="2024-06-23T00:00:00"/>
    <x v="10"/>
    <n v="2698858.8"/>
  </r>
  <r>
    <s v="유재석"/>
    <s v="세탁기"/>
    <s v="카메라"/>
    <s v="서울"/>
    <n v="3138281"/>
    <n v="93"/>
    <n v="28850"/>
    <d v="2024-11-06T00:00:00"/>
    <x v="44"/>
    <n v="2972871"/>
  </r>
  <r>
    <s v="송하나"/>
    <s v="헤드폰"/>
    <s v="가전"/>
    <s v="강원"/>
    <n v="74333"/>
    <n v="30"/>
    <n v="486721"/>
    <d v="2022-10-07T00:00:00"/>
    <x v="27"/>
    <n v="35213.97"/>
  </r>
  <r>
    <s v="한지민"/>
    <s v="노트북"/>
    <s v="오디오"/>
    <s v="전라"/>
    <n v="3978451"/>
    <n v="79"/>
    <n v="159346"/>
    <d v="2022-04-21T00:00:00"/>
    <x v="24"/>
    <n v="682870.64"/>
  </r>
  <r>
    <s v="김철수"/>
    <s v="스마트폰"/>
    <s v="오디오"/>
    <s v="대전"/>
    <n v="4644729"/>
    <n v="47"/>
    <n v="457492"/>
    <d v="2023-08-02T00:00:00"/>
    <x v="17"/>
    <n v="4081953.28"/>
  </r>
  <r>
    <s v="유재석"/>
    <s v="전자레인지"/>
    <s v="가전"/>
    <s v="제주"/>
    <n v="3812210"/>
    <n v="45"/>
    <n v="209617"/>
    <d v="2024-05-26T00:00:00"/>
    <x v="45"/>
    <n v="1276492.1399999999"/>
  </r>
  <r>
    <s v="이영희"/>
    <s v="태블릿"/>
    <s v="모바일"/>
    <s v="전라"/>
    <n v="2750381"/>
    <n v="22"/>
    <n v="266144"/>
    <d v="2023-07-25T00:00:00"/>
    <x v="43"/>
    <n v="977644.5"/>
  </r>
  <r>
    <s v="이지은"/>
    <s v="냉장고"/>
    <s v="생활가전"/>
    <s v="부산"/>
    <n v="2105352"/>
    <n v="56"/>
    <n v="310682"/>
    <d v="2023-09-21T00:00:00"/>
    <x v="22"/>
    <n v="3642903.2"/>
  </r>
  <r>
    <s v="정우성"/>
    <s v="카메라"/>
    <s v="가전"/>
    <s v="서울"/>
    <n v="4873816"/>
    <n v="38"/>
    <n v="262529"/>
    <d v="2023-02-24T00:00:00"/>
    <x v="31"/>
    <n v="592894.07999999996"/>
  </r>
  <r>
    <s v="이지은"/>
    <s v="전자레인지"/>
    <s v="가전"/>
    <s v="서울"/>
    <n v="1215514"/>
    <n v="20"/>
    <n v="252071"/>
    <d v="2024-07-08T00:00:00"/>
    <x v="13"/>
    <n v="374536.6"/>
  </r>
  <r>
    <s v="김철수"/>
    <s v="카메라"/>
    <s v="컴퓨터"/>
    <s v="광주"/>
    <n v="1795974"/>
    <n v="64"/>
    <n v="228714"/>
    <d v="2023-05-10T00:00:00"/>
    <x v="46"/>
    <n v="2678467.96"/>
  </r>
  <r>
    <s v="송하나"/>
    <s v="스마트워치"/>
    <s v="모바일"/>
    <s v="인천"/>
    <n v="77392"/>
    <n v="26"/>
    <n v="88814"/>
    <d v="2024-03-03T00:00:00"/>
    <x v="30"/>
    <n v="2421988.08"/>
  </r>
  <r>
    <s v="강호동"/>
    <s v="노트북"/>
    <s v="모바일"/>
    <s v="서울"/>
    <n v="3434355"/>
    <n v="80"/>
    <n v="400013"/>
    <d v="2023-12-26T00:00:00"/>
    <x v="37"/>
    <n v="3267829.64"/>
  </r>
  <r>
    <s v="강호동"/>
    <s v="냉장고"/>
    <s v="생활가전"/>
    <s v="강원"/>
    <n v="745371"/>
    <n v="19"/>
    <n v="288349"/>
    <d v="2022-01-10T00:00:00"/>
    <x v="2"/>
    <n v="2681568.89"/>
  </r>
  <r>
    <s v="이지은"/>
    <s v="카메라"/>
    <s v="가전"/>
    <s v="부산"/>
    <n v="4712492"/>
    <n v="98"/>
    <n v="127139"/>
    <d v="2023-07-24T00:00:00"/>
    <x v="31"/>
    <n v="2247974.5499999998"/>
  </r>
  <r>
    <s v="한지민"/>
    <s v="노트북"/>
    <s v="오디오"/>
    <s v="울산"/>
    <n v="2664981"/>
    <n v="71"/>
    <n v="149739"/>
    <d v="2022-12-16T00:00:00"/>
    <x v="20"/>
    <n v="1631892.64"/>
  </r>
  <r>
    <s v="이지은"/>
    <s v="카메라"/>
    <s v="가전"/>
    <s v="인천"/>
    <n v="3122003"/>
    <n v="17"/>
    <n v="400034"/>
    <d v="2023-12-26T00:00:00"/>
    <x v="37"/>
    <n v="2045858.4"/>
  </r>
  <r>
    <s v="정우성"/>
    <s v="스마트폰"/>
    <s v="컴퓨터"/>
    <s v="부산"/>
    <n v="260262"/>
    <n v="51"/>
    <n v="144946"/>
    <d v="2022-08-25T00:00:00"/>
    <x v="42"/>
    <n v="1721915.01"/>
  </r>
  <r>
    <s v="이지은"/>
    <s v="세탁기"/>
    <s v="전자제품"/>
    <s v="울산"/>
    <n v="2121979"/>
    <n v="96"/>
    <n v="328454"/>
    <d v="2023-04-11T00:00:00"/>
    <x v="6"/>
    <n v="3286112.25"/>
  </r>
  <r>
    <s v="이영희"/>
    <s v="세탁기"/>
    <s v="전자제품"/>
    <s v="경기"/>
    <n v="3526631"/>
    <n v="12"/>
    <n v="149621"/>
    <d v="2023-03-19T00:00:00"/>
    <x v="16"/>
    <n v="836355.52"/>
  </r>
  <r>
    <s v="박민수"/>
    <s v="스마트폰"/>
    <s v="가전"/>
    <s v="충청"/>
    <n v="502106"/>
    <n v="67"/>
    <n v="478238"/>
    <d v="2024-04-12T00:00:00"/>
    <x v="26"/>
    <n v="3390879.44"/>
  </r>
  <r>
    <s v="박민수"/>
    <s v="TV"/>
    <s v="오디오"/>
    <s v="광주"/>
    <n v="696108"/>
    <n v="32"/>
    <n v="245981"/>
    <d v="2022-11-27T00:00:00"/>
    <x v="14"/>
    <n v="523431.48"/>
  </r>
  <r>
    <s v="송하나"/>
    <s v="냉장고"/>
    <s v="카메라"/>
    <s v="광주"/>
    <n v="3345080"/>
    <n v="14"/>
    <n v="418941"/>
    <d v="2022-04-07T00:00:00"/>
    <x v="36"/>
    <n v="1128779.19"/>
  </r>
  <r>
    <s v="정우성"/>
    <s v="헤드폰"/>
    <s v="생활가전"/>
    <s v="부산"/>
    <n v="529073"/>
    <n v="19"/>
    <n v="109976"/>
    <d v="2022-09-24T00:00:00"/>
    <x v="47"/>
    <n v="2030730.72"/>
  </r>
  <r>
    <s v="이지은"/>
    <s v="카메라"/>
    <s v="전자제품"/>
    <s v="경기"/>
    <n v="1550270"/>
    <n v="41"/>
    <n v="267599"/>
    <d v="2023-06-18T00:00:00"/>
    <x v="10"/>
    <n v="651459.71"/>
  </r>
  <r>
    <s v="이영희"/>
    <s v="노트북"/>
    <s v="전자제품"/>
    <s v="대구"/>
    <n v="781096"/>
    <n v="19"/>
    <n v="454613"/>
    <d v="2022-11-23T00:00:00"/>
    <x v="30"/>
    <n v="1683155.9"/>
  </r>
  <r>
    <s v="박민수"/>
    <s v="카메라"/>
    <s v="가전"/>
    <s v="전라"/>
    <n v="3132759"/>
    <n v="61"/>
    <n v="300429"/>
    <d v="2023-03-26T00:00:00"/>
    <x v="29"/>
    <n v="299746.89"/>
  </r>
  <r>
    <s v="강호동"/>
    <s v="스마트폰"/>
    <s v="전자제품"/>
    <s v="인천"/>
    <n v="90159"/>
    <n v="88"/>
    <n v="19683"/>
    <d v="2023-08-23T00:00:00"/>
    <x v="44"/>
    <n v="1683216.75"/>
  </r>
  <r>
    <s v="김철수"/>
    <s v="노트북"/>
    <s v="오디오"/>
    <s v="경상"/>
    <n v="145960"/>
    <n v="88"/>
    <n v="250086"/>
    <d v="2022-02-23T00:00:00"/>
    <x v="25"/>
    <n v="385261.5"/>
  </r>
  <r>
    <s v="박민수"/>
    <s v="냉장고"/>
    <s v="생활가전"/>
    <s v="광주"/>
    <n v="3517653"/>
    <n v="97"/>
    <n v="81843"/>
    <d v="2023-12-11T00:00:00"/>
    <x v="24"/>
    <n v="1012924.26"/>
  </r>
  <r>
    <s v="박민수"/>
    <s v="카메라"/>
    <s v="가전"/>
    <s v="강원"/>
    <n v="3370983"/>
    <n v="81"/>
    <n v="408996"/>
    <d v="2024-07-03T00:00:00"/>
    <x v="26"/>
    <n v="2758014.78"/>
  </r>
  <r>
    <s v="박민수"/>
    <s v="TV"/>
    <s v="컴퓨터"/>
    <s v="대구"/>
    <n v="4625373"/>
    <n v="3"/>
    <n v="286271"/>
    <d v="2023-08-19T00:00:00"/>
    <x v="34"/>
    <n v="3970228.6"/>
  </r>
  <r>
    <s v="이지은"/>
    <s v="전자레인지"/>
    <s v="컴퓨터"/>
    <s v="전라"/>
    <n v="914322"/>
    <n v="54"/>
    <n v="124157"/>
    <d v="2024-05-17T00:00:00"/>
    <x v="40"/>
    <n v="2345367.5699999998"/>
  </r>
  <r>
    <s v="박민수"/>
    <s v="냉장고"/>
    <s v="모바일"/>
    <s v="제주"/>
    <n v="746507"/>
    <n v="95"/>
    <n v="435022"/>
    <d v="2024-06-02T00:00:00"/>
    <x v="8"/>
    <n v="4335462.04"/>
  </r>
  <r>
    <s v="한지민"/>
    <s v="전자레인지"/>
    <s v="카메라"/>
    <s v="대구"/>
    <n v="2050671"/>
    <n v="36"/>
    <n v="395347"/>
    <d v="2022-06-04T00:00:00"/>
    <x v="17"/>
    <n v="1710510.88"/>
  </r>
  <r>
    <s v="한지민"/>
    <s v="스마트워치"/>
    <s v="모바일"/>
    <s v="울산"/>
    <n v="4447138"/>
    <n v="57"/>
    <n v="466243"/>
    <d v="2024-06-23T00:00:00"/>
    <x v="31"/>
    <n v="2897330.58"/>
  </r>
  <r>
    <s v="유재석"/>
    <s v="TV"/>
    <s v="모바일"/>
    <s v="울산"/>
    <n v="932174"/>
    <n v="39"/>
    <n v="494134"/>
    <d v="2023-08-14T00:00:00"/>
    <x v="6"/>
    <n v="3240401.4"/>
  </r>
  <r>
    <s v="유재석"/>
    <s v="전자레인지"/>
    <s v="가전"/>
    <s v="강원"/>
    <n v="2793830"/>
    <n v="86"/>
    <n v="499755"/>
    <d v="2022-06-03T00:00:00"/>
    <x v="6"/>
    <n v="3270345.6"/>
  </r>
  <r>
    <s v="정우성"/>
    <s v="카메라"/>
    <s v="모바일"/>
    <s v="경상"/>
    <n v="4878990"/>
    <n v="46"/>
    <n v="249197"/>
    <d v="2024-07-22T00:00:00"/>
    <x v="36"/>
    <n v="194484.68"/>
  </r>
  <r>
    <s v="이지은"/>
    <s v="스마트폰"/>
    <s v="모바일"/>
    <s v="강원"/>
    <n v="3427929"/>
    <n v="14"/>
    <n v="482999"/>
    <d v="2024-04-22T00:00:00"/>
    <x v="35"/>
    <n v="3280103.64"/>
  </r>
  <r>
    <s v="최준혁"/>
    <s v="세탁기"/>
    <s v="컴퓨터"/>
    <s v="광주"/>
    <n v="1612315"/>
    <n v="30"/>
    <n v="184667"/>
    <d v="2023-05-19T00:00:00"/>
    <x v="26"/>
    <n v="3259786.82"/>
  </r>
  <r>
    <s v="이지은"/>
    <s v="스마트워치"/>
    <s v="생활가전"/>
    <s v="서울"/>
    <n v="2119002"/>
    <n v="18"/>
    <n v="179919"/>
    <d v="2022-09-03T00:00:00"/>
    <x v="8"/>
    <n v="469584.47"/>
  </r>
  <r>
    <s v="이영희"/>
    <s v="헤드폰"/>
    <s v="카메라"/>
    <s v="광주"/>
    <n v="1333902"/>
    <n v="9"/>
    <n v="402487"/>
    <d v="2024-11-06T00:00:00"/>
    <x v="14"/>
    <n v="4145723.05"/>
  </r>
  <r>
    <s v="김철수"/>
    <s v="노트북"/>
    <s v="컴퓨터"/>
    <s v="광주"/>
    <n v="3181395"/>
    <n v="24"/>
    <n v="28281"/>
    <d v="2024-06-20T00:00:00"/>
    <x v="40"/>
    <n v="2632245.4"/>
  </r>
  <r>
    <s v="이지은"/>
    <s v="노트북"/>
    <s v="가전"/>
    <s v="경상"/>
    <n v="1424835"/>
    <n v="10"/>
    <n v="61907"/>
    <d v="2023-11-20T00:00:00"/>
    <x v="9"/>
    <n v="990134.46"/>
  </r>
  <r>
    <s v="유재석"/>
    <s v="전자레인지"/>
    <s v="모바일"/>
    <s v="전라"/>
    <n v="3503044"/>
    <n v="36"/>
    <n v="349736"/>
    <d v="2023-03-20T00:00:00"/>
    <x v="48"/>
    <n v="1558485.76"/>
  </r>
  <r>
    <s v="송하나"/>
    <s v="스마트워치"/>
    <s v="모바일"/>
    <s v="서울"/>
    <n v="4714279"/>
    <n v="37"/>
    <n v="15878"/>
    <d v="2024-05-07T00:00:00"/>
    <x v="34"/>
    <n v="1424028"/>
  </r>
  <r>
    <s v="강호동"/>
    <s v="TV"/>
    <s v="전자제품"/>
    <s v="경기"/>
    <n v="3212043"/>
    <n v="41"/>
    <n v="400217"/>
    <d v="2022-11-03T00:00:00"/>
    <x v="35"/>
    <n v="3052267.68"/>
  </r>
  <r>
    <s v="박민수"/>
    <s v="스마트워치"/>
    <s v="가전"/>
    <s v="광주"/>
    <n v="3176980"/>
    <n v="35"/>
    <n v="276452"/>
    <d v="2023-04-24T00:00:00"/>
    <x v="46"/>
    <n v="805663.32"/>
  </r>
  <r>
    <s v="유재석"/>
    <s v="스마트워치"/>
    <s v="생활가전"/>
    <s v="광주"/>
    <n v="162411"/>
    <n v="84"/>
    <n v="465347"/>
    <d v="2022-07-16T00:00:00"/>
    <x v="44"/>
    <n v="3825865.72"/>
  </r>
  <r>
    <s v="이지은"/>
    <s v="태블릿"/>
    <s v="오디오"/>
    <s v="인천"/>
    <n v="286737"/>
    <n v="83"/>
    <n v="44865"/>
    <d v="2022-08-16T00:00:00"/>
    <x v="38"/>
    <n v="3391642.56"/>
  </r>
  <r>
    <s v="이지은"/>
    <s v="카메라"/>
    <s v="가전"/>
    <s v="인천"/>
    <n v="3015768"/>
    <n v="77"/>
    <n v="54585"/>
    <d v="2022-03-20T00:00:00"/>
    <x v="10"/>
    <n v="1118524.44"/>
  </r>
  <r>
    <s v="이영희"/>
    <s v="헤드폰"/>
    <s v="가전"/>
    <s v="강원"/>
    <n v="2611719"/>
    <n v="71"/>
    <n v="166136"/>
    <d v="2022-11-05T00:00:00"/>
    <x v="36"/>
    <n v="1635156.88"/>
  </r>
  <r>
    <s v="박민수"/>
    <s v="태블릿"/>
    <s v="카메라"/>
    <s v="전라"/>
    <n v="536002"/>
    <n v="54"/>
    <n v="474726"/>
    <d v="2023-07-24T00:00:00"/>
    <x v="39"/>
    <n v="4036179.98"/>
  </r>
  <r>
    <s v="최준혁"/>
    <s v="헤드폰"/>
    <s v="전자제품"/>
    <s v="강원"/>
    <n v="4116521"/>
    <n v="15"/>
    <n v="16398"/>
    <d v="2024-02-20T00:00:00"/>
    <x v="47"/>
    <n v="3060014.91"/>
  </r>
  <r>
    <s v="이영희"/>
    <s v="냉장고"/>
    <s v="가전"/>
    <s v="충청"/>
    <n v="3035755"/>
    <n v="65"/>
    <n v="319409"/>
    <d v="2024-04-28T00:00:00"/>
    <x v="49"/>
    <n v="306772.2"/>
  </r>
  <r>
    <s v="강호동"/>
    <s v="스마트폰"/>
    <s v="컴퓨터"/>
    <s v="강원"/>
    <n v="1349464"/>
    <n v="69"/>
    <n v="260124"/>
    <d v="2023-01-02T00:00:00"/>
    <x v="30"/>
    <n v="336078.54"/>
  </r>
  <r>
    <s v="정우성"/>
    <s v="세탁기"/>
    <s v="컴퓨터"/>
    <s v="울산"/>
    <n v="4527983"/>
    <n v="61"/>
    <n v="100248"/>
    <d v="2022-10-09T00:00:00"/>
    <x v="49"/>
    <n v="3122479.78"/>
  </r>
  <r>
    <s v="이지은"/>
    <s v="TV"/>
    <s v="생활가전"/>
    <s v="대구"/>
    <n v="4336682"/>
    <n v="91"/>
    <n v="23278"/>
    <d v="2024-11-25T00:00:00"/>
    <x v="25"/>
    <n v="1401657.39"/>
  </r>
  <r>
    <s v="유재석"/>
    <s v="세탁기"/>
    <s v="가전"/>
    <s v="전라"/>
    <n v="860242"/>
    <n v="82"/>
    <n v="3889"/>
    <d v="2022-05-15T00:00:00"/>
    <x v="16"/>
    <n v="1805062.05"/>
  </r>
  <r>
    <s v="김철수"/>
    <s v="노트북"/>
    <s v="전자제품"/>
    <s v="충청"/>
    <n v="4302282"/>
    <n v="88"/>
    <n v="349143"/>
    <d v="2024-09-22T00:00:00"/>
    <x v="15"/>
    <n v="936297.6"/>
  </r>
  <r>
    <s v="이지은"/>
    <s v="노트북"/>
    <s v="카메라"/>
    <s v="충청"/>
    <n v="4465768"/>
    <n v="63"/>
    <n v="448561"/>
    <d v="2023-08-27T00:00:00"/>
    <x v="28"/>
    <n v="1815051.25"/>
  </r>
  <r>
    <s v="강호동"/>
    <s v="노트북"/>
    <s v="전자제품"/>
    <s v="대전"/>
    <n v="4191579"/>
    <n v="35"/>
    <n v="421379"/>
    <d v="2023-12-07T00:00:00"/>
    <x v="44"/>
    <n v="726160"/>
  </r>
  <r>
    <s v="한지민"/>
    <s v="냉장고"/>
    <s v="전자제품"/>
    <s v="인천"/>
    <n v="1623160"/>
    <n v="73"/>
    <n v="99921"/>
    <d v="2023-11-12T00:00:00"/>
    <x v="13"/>
    <n v="301640.17"/>
  </r>
  <r>
    <s v="유재석"/>
    <s v="냉장고"/>
    <s v="전자제품"/>
    <s v="서울"/>
    <n v="3574594"/>
    <n v="75"/>
    <n v="227132"/>
    <d v="2024-09-15T00:00:00"/>
    <x v="32"/>
    <n v="342855.67999999999"/>
  </r>
  <r>
    <s v="이지은"/>
    <s v="스마트워치"/>
    <s v="컴퓨터"/>
    <s v="충청"/>
    <n v="1266713"/>
    <n v="90"/>
    <n v="252043"/>
    <d v="2023-03-22T00:00:00"/>
    <x v="2"/>
    <n v="1558388.16"/>
  </r>
  <r>
    <s v="유재석"/>
    <s v="스마트워치"/>
    <s v="카메라"/>
    <s v="울산"/>
    <n v="1108750"/>
    <n v="18"/>
    <n v="250300"/>
    <d v="2023-07-06T00:00:00"/>
    <x v="44"/>
    <n v="2917020.47"/>
  </r>
  <r>
    <s v="이영희"/>
    <s v="스마트폰"/>
    <s v="전자제품"/>
    <s v="전라"/>
    <n v="3401916"/>
    <n v="63"/>
    <n v="400743"/>
    <d v="2023-11-03T00:00:00"/>
    <x v="25"/>
    <n v="929988.24"/>
  </r>
  <r>
    <s v="박민수"/>
    <s v="스마트폰"/>
    <s v="가전"/>
    <s v="제주"/>
    <n v="3558185"/>
    <n v="58"/>
    <n v="162880"/>
    <d v="2024-07-07T00:00:00"/>
    <x v="11"/>
    <n v="3247227.48"/>
  </r>
  <r>
    <s v="박민수"/>
    <s v="태블릿"/>
    <s v="컴퓨터"/>
    <s v="경기"/>
    <n v="3579455"/>
    <n v="79"/>
    <n v="397564"/>
    <d v="2024-02-19T00:00:00"/>
    <x v="22"/>
    <n v="1813766.08"/>
  </r>
  <r>
    <s v="박민수"/>
    <s v="태블릿"/>
    <s v="생활가전"/>
    <s v="광주"/>
    <n v="791409"/>
    <n v="19"/>
    <n v="448447"/>
    <d v="2024-11-08T00:00:00"/>
    <x v="40"/>
    <n v="2569608.75"/>
  </r>
  <r>
    <s v="김철수"/>
    <s v="스마트워치"/>
    <s v="가전"/>
    <s v="전라"/>
    <n v="3915210"/>
    <n v="53"/>
    <n v="246699"/>
    <d v="2023-01-07T00:00:00"/>
    <x v="40"/>
    <n v="1471051.2"/>
  </r>
  <r>
    <s v="한지민"/>
    <s v="스마트폰"/>
    <s v="모바일"/>
    <s v="서울"/>
    <n v="3923362"/>
    <n v="48"/>
    <n v="304901"/>
    <d v="2024-11-04T00:00:00"/>
    <x v="0"/>
    <n v="1528747.02"/>
  </r>
  <r>
    <s v="이지은"/>
    <s v="전자레인지"/>
    <s v="생활가전"/>
    <s v="제주"/>
    <n v="1663987"/>
    <n v="7"/>
    <n v="456040"/>
    <d v="2023-05-17T00:00:00"/>
    <x v="12"/>
    <n v="561913.1"/>
  </r>
  <r>
    <s v="이지은"/>
    <s v="노트북"/>
    <s v="오디오"/>
    <s v="울산"/>
    <n v="4390505"/>
    <n v="78"/>
    <n v="171685"/>
    <d v="2024-09-14T00:00:00"/>
    <x v="37"/>
    <n v="1318412.6399999999"/>
  </r>
  <r>
    <s v="이지은"/>
    <s v="스마트폰"/>
    <s v="카메라"/>
    <s v="경기"/>
    <n v="3602273"/>
    <n v="63"/>
    <n v="205914"/>
    <d v="2022-06-20T00:00:00"/>
    <x v="28"/>
    <n v="3817189.92"/>
  </r>
  <r>
    <s v="송하나"/>
    <s v="스마트폰"/>
    <s v="가전"/>
    <s v="서울"/>
    <n v="3000348"/>
    <n v="31"/>
    <n v="388367"/>
    <d v="2022-09-13T00:00:00"/>
    <x v="44"/>
    <n v="3213549.24"/>
  </r>
  <r>
    <s v="최준혁"/>
    <s v="세탁기"/>
    <s v="가전"/>
    <s v="제주"/>
    <n v="20772"/>
    <n v="51"/>
    <n v="462794"/>
    <d v="2023-01-15T00:00:00"/>
    <x v="3"/>
    <n v="1821535.56"/>
  </r>
  <r>
    <s v="유재석"/>
    <s v="TV"/>
    <s v="카메라"/>
    <s v="경상"/>
    <n v="4996506"/>
    <n v="99"/>
    <n v="95375"/>
    <d v="2022-12-02T00:00:00"/>
    <x v="20"/>
    <n v="2407981.42"/>
  </r>
  <r>
    <s v="이영희"/>
    <s v="카메라"/>
    <s v="가전"/>
    <s v="제주"/>
    <n v="1584165"/>
    <n v="80"/>
    <n v="366409"/>
    <d v="2022-08-11T00:00:00"/>
    <x v="35"/>
    <n v="1374403.8"/>
  </r>
  <r>
    <s v="유재석"/>
    <s v="TV"/>
    <s v="가전"/>
    <s v="전라"/>
    <n v="165398"/>
    <n v="65"/>
    <n v="36148"/>
    <d v="2023-12-12T00:00:00"/>
    <x v="19"/>
    <n v="3486083.04"/>
  </r>
  <r>
    <s v="이지은"/>
    <s v="세탁기"/>
    <s v="전자제품"/>
    <s v="대구"/>
    <n v="4619016"/>
    <n v="11"/>
    <n v="24479"/>
    <d v="2022-08-19T00:00:00"/>
    <x v="7"/>
    <n v="750865.31"/>
  </r>
  <r>
    <s v="유재석"/>
    <s v="노트북"/>
    <s v="가전"/>
    <s v="서울"/>
    <n v="213893"/>
    <n v="48"/>
    <n v="130091"/>
    <d v="2024-10-01T00:00:00"/>
    <x v="22"/>
    <n v="424548.74"/>
  </r>
  <r>
    <s v="정우성"/>
    <s v="전자레인지"/>
    <s v="카메라"/>
    <s v="강원"/>
    <n v="2111321"/>
    <n v="89"/>
    <n v="185260"/>
    <d v="2024-03-13T00:00:00"/>
    <x v="9"/>
    <n v="2040297.35"/>
  </r>
  <r>
    <s v="김철수"/>
    <s v="냉장고"/>
    <s v="오디오"/>
    <s v="경기"/>
    <n v="4628494"/>
    <n v="5"/>
    <n v="253928"/>
    <d v="2024-11-08T00:00:00"/>
    <x v="1"/>
    <n v="4519765.4400000004"/>
  </r>
  <r>
    <s v="최준혁"/>
    <s v="TV"/>
    <s v="모바일"/>
    <s v="충청"/>
    <n v="1807982"/>
    <n v="59"/>
    <n v="6181"/>
    <d v="2024-09-24T00:00:00"/>
    <x v="38"/>
    <n v="2711620.8"/>
  </r>
  <r>
    <s v="최준혁"/>
    <s v="태블릿"/>
    <s v="오디오"/>
    <s v="울산"/>
    <n v="4674812"/>
    <n v="26"/>
    <n v="86052"/>
    <d v="2022-07-20T00:00:00"/>
    <x v="49"/>
    <n v="2626726.4"/>
  </r>
  <r>
    <s v="최준혁"/>
    <s v="태블릿"/>
    <s v="오디오"/>
    <s v="강원"/>
    <n v="2861203"/>
    <n v="18"/>
    <n v="46282"/>
    <d v="2024-03-09T00:00:00"/>
    <x v="14"/>
    <n v="554893.21"/>
  </r>
  <r>
    <s v="한지민"/>
    <s v="태블릿"/>
    <s v="모바일"/>
    <s v="제주"/>
    <n v="4375326"/>
    <n v="76"/>
    <n v="129970"/>
    <d v="2022-09-15T00:00:00"/>
    <x v="47"/>
    <n v="2808990.92"/>
  </r>
  <r>
    <s v="강호동"/>
    <s v="노트북"/>
    <s v="전자제품"/>
    <s v="전라"/>
    <n v="2078103"/>
    <n v="58"/>
    <n v="70565"/>
    <d v="2022-07-16T00:00:00"/>
    <x v="18"/>
    <n v="410148.9"/>
  </r>
  <r>
    <s v="이지은"/>
    <s v="스마트폰"/>
    <s v="전자제품"/>
    <s v="울산"/>
    <n v="1226931"/>
    <n v="79"/>
    <n v="429409"/>
    <d v="2022-02-26T00:00:00"/>
    <x v="30"/>
    <n v="746840.88"/>
  </r>
  <r>
    <s v="김철수"/>
    <s v="스마트워치"/>
    <s v="전자제품"/>
    <s v="경기"/>
    <n v="2836174"/>
    <n v="5"/>
    <n v="311322"/>
    <d v="2022-07-15T00:00:00"/>
    <x v="10"/>
    <n v="1651827.24"/>
  </r>
  <r>
    <s v="최준혁"/>
    <s v="세탁기"/>
    <s v="생활가전"/>
    <s v="인천"/>
    <n v="2237503"/>
    <n v="84"/>
    <n v="484213"/>
    <d v="2024-01-10T00:00:00"/>
    <x v="36"/>
    <n v="1147827.8700000001"/>
  </r>
  <r>
    <s v="강호동"/>
    <s v="헤드폰"/>
    <s v="카메라"/>
    <s v="경상"/>
    <n v="12736"/>
    <n v="4"/>
    <n v="442735"/>
    <d v="2024-12-15T00:00:00"/>
    <x v="2"/>
    <n v="1969344.8"/>
  </r>
  <r>
    <s v="이지은"/>
    <s v="스마트워치"/>
    <s v="생활가전"/>
    <s v="전라"/>
    <n v="701161"/>
    <n v="5"/>
    <n v="106523"/>
    <d v="2024-04-15T00:00:00"/>
    <x v="47"/>
    <n v="3976804.06"/>
  </r>
  <r>
    <s v="정우성"/>
    <s v="전자레인지"/>
    <s v="전자제품"/>
    <s v="서울"/>
    <n v="576544"/>
    <n v="31"/>
    <n v="69871"/>
    <d v="2023-10-20T00:00:00"/>
    <x v="21"/>
    <n v="2996399.51"/>
  </r>
  <r>
    <s v="한지민"/>
    <s v="태블릿"/>
    <s v="오디오"/>
    <s v="강원"/>
    <n v="1150800"/>
    <n v="1"/>
    <n v="76717"/>
    <d v="2023-03-02T00:00:00"/>
    <x v="6"/>
    <n v="3244381.4"/>
  </r>
  <r>
    <s v="강호동"/>
    <s v="스마트폰"/>
    <s v="생활가전"/>
    <s v="대구"/>
    <n v="4125233"/>
    <n v="61"/>
    <n v="310145"/>
    <d v="2023-09-10T00:00:00"/>
    <x v="22"/>
    <n v="2038144.68"/>
  </r>
  <r>
    <s v="정우성"/>
    <s v="카메라"/>
    <s v="모바일"/>
    <s v="서울"/>
    <n v="932568"/>
    <n v="66"/>
    <n v="270566"/>
    <d v="2023-01-19T00:00:00"/>
    <x v="38"/>
    <n v="1778794.65"/>
  </r>
  <r>
    <s v="정우성"/>
    <s v="카메라"/>
    <s v="모바일"/>
    <s v="강원"/>
    <n v="4050449"/>
    <n v="79"/>
    <n v="49944"/>
    <d v="2024-05-12T00:00:00"/>
    <x v="49"/>
    <n v="1135983.78"/>
  </r>
  <r>
    <s v="정우성"/>
    <s v="태블릿"/>
    <s v="생활가전"/>
    <s v="제주"/>
    <n v="1724869"/>
    <n v="83"/>
    <n v="247737"/>
    <d v="2024-08-08T00:00:00"/>
    <x v="33"/>
    <n v="1270186.3799999999"/>
  </r>
  <r>
    <s v="정우성"/>
    <s v="전자레인지"/>
    <s v="가전"/>
    <s v="충청"/>
    <n v="756838"/>
    <n v="8"/>
    <n v="77628"/>
    <d v="2022-11-14T00:00:00"/>
    <x v="46"/>
    <n v="2025637.04"/>
  </r>
  <r>
    <s v="김철수"/>
    <s v="카메라"/>
    <s v="생활가전"/>
    <s v="부산"/>
    <n v="3388381"/>
    <n v="19"/>
    <n v="403260"/>
    <d v="2022-01-18T00:00:00"/>
    <x v="11"/>
    <n v="1917910.35"/>
  </r>
  <r>
    <s v="이영희"/>
    <s v="태블릿"/>
    <s v="카메라"/>
    <s v="서울"/>
    <n v="2733274"/>
    <n v="55"/>
    <n v="239899"/>
    <d v="2024-08-08T00:00:00"/>
    <x v="12"/>
    <n v="459431.78"/>
  </r>
  <r>
    <s v="정우성"/>
    <s v="스마트폰"/>
    <s v="모바일"/>
    <s v="충청"/>
    <n v="3840798"/>
    <n v="31"/>
    <n v="137690"/>
    <d v="2024-06-13T00:00:00"/>
    <x v="32"/>
    <n v="2175747.21"/>
  </r>
  <r>
    <s v="이영희"/>
    <s v="헤드폰"/>
    <s v="카메라"/>
    <s v="울산"/>
    <n v="3748304"/>
    <n v="77"/>
    <n v="279590"/>
    <d v="2024-03-17T00:00:00"/>
    <x v="20"/>
    <n v="2698245.48"/>
  </r>
  <r>
    <s v="강호동"/>
    <s v="TV"/>
    <s v="전자제품"/>
    <s v="강원"/>
    <n v="3075057"/>
    <n v="20"/>
    <n v="304857"/>
    <d v="2023-07-08T00:00:00"/>
    <x v="3"/>
    <n v="2892655.41"/>
  </r>
  <r>
    <s v="이지은"/>
    <s v="전자레인지"/>
    <s v="생활가전"/>
    <s v="대전"/>
    <n v="3204053"/>
    <n v="34"/>
    <n v="148330"/>
    <d v="2024-02-10T00:00:00"/>
    <x v="30"/>
    <n v="1205523"/>
  </r>
  <r>
    <s v="박민수"/>
    <s v="TV"/>
    <s v="생활가전"/>
    <s v="강원"/>
    <n v="4308464"/>
    <n v="53"/>
    <n v="473148"/>
    <d v="2023-11-18T00:00:00"/>
    <x v="26"/>
    <n v="2279273.6"/>
  </r>
  <r>
    <s v="송하나"/>
    <s v="TV"/>
    <s v="전자제품"/>
    <s v="전라"/>
    <n v="4468406"/>
    <n v="36"/>
    <n v="449510"/>
    <d v="2023-02-01T00:00:00"/>
    <x v="18"/>
    <n v="231727.5"/>
  </r>
  <r>
    <s v="정우성"/>
    <s v="냉장고"/>
    <s v="전자제품"/>
    <s v="제주"/>
    <n v="2540976"/>
    <n v="49"/>
    <n v="313596"/>
    <d v="2024-02-04T00:00:00"/>
    <x v="11"/>
    <n v="119252.56"/>
  </r>
  <r>
    <s v="강호동"/>
    <s v="세탁기"/>
    <s v="가전"/>
    <s v="서울"/>
    <n v="2888943"/>
    <n v="25"/>
    <n v="392332"/>
    <d v="2024-03-19T00:00:00"/>
    <x v="32"/>
    <n v="1022997.36"/>
  </r>
  <r>
    <s v="유재석"/>
    <s v="전자레인지"/>
    <s v="컴퓨터"/>
    <s v="울산"/>
    <n v="4354561"/>
    <n v="87"/>
    <n v="103614"/>
    <d v="2023-04-09T00:00:00"/>
    <x v="30"/>
    <n v="2461262.2799999998"/>
  </r>
  <r>
    <s v="강호동"/>
    <s v="세탁기"/>
    <s v="전자제품"/>
    <s v="울산"/>
    <n v="4667247"/>
    <n v="75"/>
    <n v="259304"/>
    <d v="2024-03-25T00:00:00"/>
    <x v="39"/>
    <n v="538574.67000000004"/>
  </r>
  <r>
    <s v="강호동"/>
    <s v="태블릿"/>
    <s v="모바일"/>
    <s v="경상"/>
    <n v="3348471"/>
    <n v="32"/>
    <n v="379528"/>
    <d v="2024-01-17T00:00:00"/>
    <x v="22"/>
    <n v="3423226.56"/>
  </r>
  <r>
    <s v="강호동"/>
    <s v="스마트워치"/>
    <s v="가전"/>
    <s v="전라"/>
    <n v="2258996"/>
    <n v="57"/>
    <n v="226752"/>
    <d v="2023-05-18T00:00:00"/>
    <x v="48"/>
    <n v="2019543.96"/>
  </r>
  <r>
    <s v="강호동"/>
    <s v="TV"/>
    <s v="카메라"/>
    <s v="충청"/>
    <n v="372076"/>
    <n v="62"/>
    <n v="144802"/>
    <d v="2022-06-22T00:00:00"/>
    <x v="14"/>
    <n v="1077013.21"/>
  </r>
  <r>
    <s v="최준혁"/>
    <s v="스마트폰"/>
    <s v="전자제품"/>
    <s v="대전"/>
    <n v="4963232"/>
    <n v="46"/>
    <n v="162387"/>
    <d v="2022-04-07T00:00:00"/>
    <x v="38"/>
    <n v="1147511.94"/>
  </r>
  <r>
    <s v="김철수"/>
    <s v="스마트폰"/>
    <s v="전자제품"/>
    <s v="강원"/>
    <n v="2739040"/>
    <n v="9"/>
    <n v="262216"/>
    <d v="2023-03-09T00:00:00"/>
    <x v="42"/>
    <n v="2547510"/>
  </r>
  <r>
    <s v="박민수"/>
    <s v="카메라"/>
    <s v="전자제품"/>
    <s v="대전"/>
    <n v="2782289"/>
    <n v="74"/>
    <n v="314450"/>
    <d v="2024-07-10T00:00:00"/>
    <x v="42"/>
    <n v="2872604.68"/>
  </r>
  <r>
    <s v="정우성"/>
    <s v="스마트폰"/>
    <s v="생활가전"/>
    <s v="부산"/>
    <n v="1880985"/>
    <n v="45"/>
    <n v="374709"/>
    <d v="2024-04-09T00:00:00"/>
    <x v="1"/>
    <n v="1250858.24"/>
  </r>
  <r>
    <s v="강호동"/>
    <s v="카메라"/>
    <s v="전자제품"/>
    <s v="전라"/>
    <n v="4206889"/>
    <n v="23"/>
    <n v="457614"/>
    <d v="2022-07-26T00:00:00"/>
    <x v="28"/>
    <n v="3492894.79"/>
  </r>
  <r>
    <s v="김철수"/>
    <s v="스마트워치"/>
    <s v="생활가전"/>
    <s v="울산"/>
    <n v="543779"/>
    <n v="58"/>
    <n v="259550"/>
    <d v="2023-09-27T00:00:00"/>
    <x v="11"/>
    <n v="591215.31000000006"/>
  </r>
  <r>
    <s v="이영희"/>
    <s v="TV"/>
    <s v="생활가전"/>
    <s v="전라"/>
    <n v="580350"/>
    <n v="100"/>
    <n v="354932"/>
    <d v="2022-12-20T00:00:00"/>
    <x v="5"/>
    <n v="2056800.35"/>
  </r>
  <r>
    <s v="김철수"/>
    <s v="태블릿"/>
    <s v="카메라"/>
    <s v="부산"/>
    <n v="172486"/>
    <n v="14"/>
    <n v="15449"/>
    <d v="2023-08-09T00:00:00"/>
    <x v="0"/>
    <n v="3966066.95"/>
  </r>
  <r>
    <s v="박민수"/>
    <s v="헤드폰"/>
    <s v="카메라"/>
    <s v="전라"/>
    <n v="2401191"/>
    <n v="81"/>
    <n v="34648"/>
    <d v="2024-08-21T00:00:00"/>
    <x v="27"/>
    <n v="764790.6"/>
  </r>
  <r>
    <s v="정우성"/>
    <s v="세탁기"/>
    <s v="전자제품"/>
    <s v="서울"/>
    <n v="4370392"/>
    <n v="92"/>
    <n v="183985"/>
    <d v="2024-09-14T00:00:00"/>
    <x v="6"/>
    <n v="2541473.5499999998"/>
  </r>
  <r>
    <s v="송하나"/>
    <s v="세탁기"/>
    <s v="카메라"/>
    <s v="부산"/>
    <n v="1987570"/>
    <n v="16"/>
    <n v="291023"/>
    <d v="2022-08-08T00:00:00"/>
    <x v="16"/>
    <n v="2114277"/>
  </r>
  <r>
    <s v="이지은"/>
    <s v="전자레인지"/>
    <s v="오디오"/>
    <s v="경상"/>
    <n v="4728603"/>
    <n v="30"/>
    <n v="426733"/>
    <d v="2023-01-27T00:00:00"/>
    <x v="29"/>
    <n v="3135557.52"/>
  </r>
  <r>
    <s v="박민수"/>
    <s v="카메라"/>
    <s v="전자제품"/>
    <s v="경상"/>
    <n v="3480955"/>
    <n v="53"/>
    <n v="4480"/>
    <d v="2023-06-11T00:00:00"/>
    <x v="28"/>
    <n v="1455825.59"/>
  </r>
  <r>
    <s v="김철수"/>
    <s v="헤드폰"/>
    <s v="카메라"/>
    <s v="서울"/>
    <n v="3651734"/>
    <n v="100"/>
    <n v="78820"/>
    <d v="2024-11-18T00:00:00"/>
    <x v="49"/>
    <n v="376282.65"/>
  </r>
  <r>
    <s v="최준혁"/>
    <s v="세탁기"/>
    <s v="모바일"/>
    <s v="제주"/>
    <n v="1649124"/>
    <n v="71"/>
    <n v="135593"/>
    <d v="2023-08-04T00:00:00"/>
    <x v="40"/>
    <n v="2791579.05"/>
  </r>
  <r>
    <s v="한지민"/>
    <s v="카메라"/>
    <s v="생활가전"/>
    <s v="경기"/>
    <n v="554685"/>
    <n v="42"/>
    <n v="146035"/>
    <d v="2023-11-26T00:00:00"/>
    <x v="29"/>
    <n v="1705995.9"/>
  </r>
  <r>
    <s v="한지민"/>
    <s v="냉장고"/>
    <s v="모바일"/>
    <s v="제주"/>
    <n v="2701624"/>
    <n v="50"/>
    <n v="204157"/>
    <d v="2023-09-19T00:00:00"/>
    <x v="35"/>
    <n v="1007207.76"/>
  </r>
  <r>
    <s v="강호동"/>
    <s v="스마트폰"/>
    <s v="카메라"/>
    <s v="충청"/>
    <n v="4098837"/>
    <n v="71"/>
    <n v="48966"/>
    <d v="2024-03-02T00:00:00"/>
    <x v="17"/>
    <n v="2689965.46"/>
  </r>
  <r>
    <s v="정우성"/>
    <s v="냉장고"/>
    <s v="오디오"/>
    <s v="강원"/>
    <n v="101128"/>
    <n v="20"/>
    <n v="451547"/>
    <d v="2023-02-04T00:00:00"/>
    <x v="18"/>
    <n v="808972.78"/>
  </r>
  <r>
    <s v="이지은"/>
    <s v="노트북"/>
    <s v="오디오"/>
    <s v="대구"/>
    <n v="3492735"/>
    <n v="10"/>
    <n v="210134"/>
    <d v="2022-03-12T00:00:00"/>
    <x v="12"/>
    <n v="1331661.1299999999"/>
  </r>
  <r>
    <s v="유재석"/>
    <s v="전자레인지"/>
    <s v="생활가전"/>
    <s v="경기"/>
    <n v="2778159"/>
    <n v="86"/>
    <n v="445810"/>
    <d v="2022-10-28T00:00:00"/>
    <x v="44"/>
    <n v="369509.76"/>
  </r>
  <r>
    <s v="김철수"/>
    <s v="전자레인지"/>
    <s v="카메라"/>
    <s v="대전"/>
    <n v="3861854"/>
    <n v="35"/>
    <n v="297943"/>
    <d v="2022-06-05T00:00:00"/>
    <x v="17"/>
    <n v="3271492.8"/>
  </r>
  <r>
    <s v="유재석"/>
    <s v="헤드폰"/>
    <s v="모바일"/>
    <s v="전라"/>
    <n v="1521665"/>
    <n v="39"/>
    <n v="166513"/>
    <d v="2023-04-05T00:00:00"/>
    <x v="24"/>
    <n v="3663117.02"/>
  </r>
  <r>
    <s v="최준혁"/>
    <s v="냉장고"/>
    <s v="모바일"/>
    <s v="충청"/>
    <n v="2940690"/>
    <n v="2"/>
    <n v="454321"/>
    <d v="2024-02-09T00:00:00"/>
    <x v="5"/>
    <n v="1569765.78"/>
  </r>
  <r>
    <s v="송하나"/>
    <s v="헤드폰"/>
    <s v="전자제품"/>
    <s v="전라"/>
    <n v="1487846"/>
    <n v="83"/>
    <n v="134281"/>
    <d v="2023-03-01T00:00:00"/>
    <x v="24"/>
    <n v="213210.72"/>
  </r>
  <r>
    <s v="김철수"/>
    <s v="냉장고"/>
    <s v="전자제품"/>
    <s v="강원"/>
    <n v="2851741"/>
    <n v="30"/>
    <n v="95123"/>
    <d v="2023-04-05T00:00:00"/>
    <x v="18"/>
    <n v="1736967.84"/>
  </r>
  <r>
    <s v="강호동"/>
    <s v="스마트워치"/>
    <s v="생활가전"/>
    <s v="부산"/>
    <n v="4203791"/>
    <n v="35"/>
    <n v="457457"/>
    <d v="2022-08-11T00:00:00"/>
    <x v="8"/>
    <n v="4839702.12"/>
  </r>
  <r>
    <s v="송하나"/>
    <s v="전자레인지"/>
    <s v="생활가전"/>
    <s v="부산"/>
    <n v="54986"/>
    <n v="66"/>
    <n v="284447"/>
    <d v="2023-04-04T00:00:00"/>
    <x v="22"/>
    <n v="1075175.3999999999"/>
  </r>
  <r>
    <s v="유재석"/>
    <s v="세탁기"/>
    <s v="전자제품"/>
    <s v="서울"/>
    <n v="77361"/>
    <n v="86"/>
    <n v="418054"/>
    <d v="2022-06-25T00:00:00"/>
    <x v="20"/>
    <n v="2529245.88"/>
  </r>
  <r>
    <s v="송하나"/>
    <s v="TV"/>
    <s v="가전"/>
    <s v="강원"/>
    <n v="2547269"/>
    <n v="21"/>
    <n v="402349"/>
    <d v="2023-12-09T00:00:00"/>
    <x v="27"/>
    <n v="406192.16"/>
  </r>
  <r>
    <s v="최준혁"/>
    <s v="태블릿"/>
    <s v="생활가전"/>
    <s v="전라"/>
    <n v="2980550"/>
    <n v="9"/>
    <n v="160061"/>
    <d v="2024-11-23T00:00:00"/>
    <x v="40"/>
    <n v="95482.17"/>
  </r>
  <r>
    <s v="유재석"/>
    <s v="노트북"/>
    <s v="카메라"/>
    <s v="부산"/>
    <n v="2828765"/>
    <n v="18"/>
    <n v="207293"/>
    <d v="2023-07-17T00:00:00"/>
    <x v="45"/>
    <n v="2926320.54"/>
  </r>
  <r>
    <s v="정우성"/>
    <s v="세탁기"/>
    <s v="전자제품"/>
    <s v="부산"/>
    <n v="2010872"/>
    <n v="12"/>
    <n v="120532"/>
    <d v="2024-03-27T00:00:00"/>
    <x v="47"/>
    <n v="1328824.6399999999"/>
  </r>
  <r>
    <s v="송하나"/>
    <s v="냉장고"/>
    <s v="모바일"/>
    <s v="서울"/>
    <n v="749120"/>
    <n v="34"/>
    <n v="147034"/>
    <d v="2022-09-13T00:00:00"/>
    <x v="5"/>
    <n v="3155905.2"/>
  </r>
  <r>
    <s v="박민수"/>
    <s v="TV"/>
    <s v="오디오"/>
    <s v="울산"/>
    <n v="3070010"/>
    <n v="68"/>
    <n v="289488"/>
    <d v="2024-04-24T00:00:00"/>
    <x v="32"/>
    <n v="333566.82"/>
  </r>
  <r>
    <s v="이지은"/>
    <s v="TV"/>
    <s v="카메라"/>
    <s v="인천"/>
    <n v="3250834"/>
    <n v="92"/>
    <n v="4420"/>
    <d v="2022-05-26T00:00:00"/>
    <x v="14"/>
    <n v="1705527.51"/>
  </r>
  <r>
    <s v="한지민"/>
    <s v="냉장고"/>
    <s v="카메라"/>
    <s v="서울"/>
    <n v="4120807"/>
    <n v="61"/>
    <n v="121998"/>
    <d v="2022-09-15T00:00:00"/>
    <x v="32"/>
    <n v="2305815.35"/>
  </r>
  <r>
    <s v="이영희"/>
    <s v="TV"/>
    <s v="전자제품"/>
    <s v="경상"/>
    <n v="289940"/>
    <n v="74"/>
    <n v="423539"/>
    <d v="2024-10-20T00:00:00"/>
    <x v="6"/>
    <n v="3668011.2"/>
  </r>
  <r>
    <s v="이영희"/>
    <s v="세탁기"/>
    <s v="전자제품"/>
    <s v="경상"/>
    <n v="2532811"/>
    <n v="36"/>
    <n v="430072"/>
    <d v="2022-12-11T00:00:00"/>
    <x v="26"/>
    <n v="888052.41"/>
  </r>
  <r>
    <s v="정우성"/>
    <s v="헤드폰"/>
    <s v="카메라"/>
    <s v="광주"/>
    <n v="2861520"/>
    <n v="32"/>
    <n v="314353"/>
    <d v="2023-04-11T00:00:00"/>
    <x v="38"/>
    <n v="4295789.04"/>
  </r>
  <r>
    <s v="이영희"/>
    <s v="카메라"/>
    <s v="카메라"/>
    <s v="경기"/>
    <n v="2865648"/>
    <n v="24"/>
    <n v="176041"/>
    <d v="2022-08-14T00:00:00"/>
    <x v="6"/>
    <n v="3086756.19"/>
  </r>
  <r>
    <s v="최준혁"/>
    <s v="세탁기"/>
    <s v="가전"/>
    <s v="대구"/>
    <n v="4375081"/>
    <n v="43"/>
    <n v="1416"/>
    <d v="2022-07-22T00:00:00"/>
    <x v="20"/>
    <n v="2940991.29"/>
  </r>
  <r>
    <s v="이영희"/>
    <s v="냉장고"/>
    <s v="생활가전"/>
    <s v="전라"/>
    <n v="3146380"/>
    <n v="91"/>
    <n v="203259"/>
    <d v="2023-06-18T00:00:00"/>
    <x v="10"/>
    <n v="2308556.67"/>
  </r>
  <r>
    <s v="박민수"/>
    <s v="카메라"/>
    <s v="생활가전"/>
    <s v="울산"/>
    <n v="2177769"/>
    <n v="78"/>
    <n v="226686"/>
    <d v="2023-05-14T00:00:00"/>
    <x v="20"/>
    <n v="900541.48"/>
  </r>
  <r>
    <s v="박민수"/>
    <s v="노트북"/>
    <s v="가전"/>
    <s v="경기"/>
    <n v="3645192"/>
    <n v="94"/>
    <n v="291961"/>
    <d v="2023-11-18T00:00:00"/>
    <x v="50"/>
    <n v="365390.64"/>
  </r>
  <r>
    <s v="한지민"/>
    <s v="헤드폰"/>
    <s v="가전"/>
    <s v="울산"/>
    <n v="509549"/>
    <n v="52"/>
    <n v="188933"/>
    <d v="2024-03-20T00:00:00"/>
    <x v="7"/>
    <n v="2150200.5"/>
  </r>
  <r>
    <s v="유재석"/>
    <s v="카메라"/>
    <s v="가전"/>
    <s v="대전"/>
    <n v="4231683"/>
    <n v="26"/>
    <n v="463779"/>
    <d v="2022-05-24T00:00:00"/>
    <x v="36"/>
    <n v="265549.44"/>
  </r>
  <r>
    <s v="김철수"/>
    <s v="냉장고"/>
    <s v="가전"/>
    <s v="대구"/>
    <n v="4173099"/>
    <n v="34"/>
    <n v="98146"/>
    <d v="2023-08-22T00:00:00"/>
    <x v="2"/>
    <n v="4437233.96"/>
  </r>
  <r>
    <s v="이영희"/>
    <s v="세탁기"/>
    <s v="전자제품"/>
    <s v="광주"/>
    <n v="4666181"/>
    <n v="29"/>
    <n v="475565"/>
    <d v="2022-03-26T00:00:00"/>
    <x v="22"/>
    <n v="2283454.9500000002"/>
  </r>
  <r>
    <s v="최준혁"/>
    <s v="노트북"/>
    <s v="컴퓨터"/>
    <s v="부산"/>
    <n v="3123971"/>
    <n v="67"/>
    <n v="94121"/>
    <d v="2024-11-06T00:00:00"/>
    <x v="24"/>
    <n v="2776439.55"/>
  </r>
  <r>
    <s v="강호동"/>
    <s v="헤드폰"/>
    <s v="생활가전"/>
    <s v="경상"/>
    <n v="610332"/>
    <n v="48"/>
    <n v="119230"/>
    <d v="2023-06-01T00:00:00"/>
    <x v="48"/>
    <n v="2875043.56"/>
  </r>
  <r>
    <s v="송하나"/>
    <s v="카메라"/>
    <s v="전자제품"/>
    <s v="울산"/>
    <n v="289770"/>
    <n v="43"/>
    <n v="20701"/>
    <d v="2022-01-03T00:00:00"/>
    <x v="40"/>
    <n v="2274948.52"/>
  </r>
  <r>
    <s v="유재석"/>
    <s v="노트북"/>
    <s v="카메라"/>
    <s v="부산"/>
    <n v="468595"/>
    <n v="6"/>
    <n v="373529"/>
    <d v="2024-03-06T00:00:00"/>
    <x v="16"/>
    <n v="1222708.3899999999"/>
  </r>
  <r>
    <s v="이지은"/>
    <s v="TV"/>
    <s v="모바일"/>
    <s v="인천"/>
    <n v="1844929"/>
    <n v="1"/>
    <n v="220252"/>
    <d v="2024-07-23T00:00:00"/>
    <x v="31"/>
    <n v="865793.68"/>
  </r>
  <r>
    <s v="송하나"/>
    <s v="태블릿"/>
    <s v="카메라"/>
    <s v="충청"/>
    <n v="4494492"/>
    <n v="24"/>
    <n v="219299"/>
    <d v="2022-11-09T00:00:00"/>
    <x v="45"/>
    <n v="1686567.12"/>
  </r>
  <r>
    <s v="강호동"/>
    <s v="세탁기"/>
    <s v="카메라"/>
    <s v="경상"/>
    <n v="4513946"/>
    <n v="73"/>
    <n v="172653"/>
    <d v="2022-11-20T00:00:00"/>
    <x v="47"/>
    <n v="1698166.8"/>
  </r>
  <r>
    <s v="이영희"/>
    <s v="노트북"/>
    <s v="컴퓨터"/>
    <s v="울산"/>
    <n v="3946631"/>
    <n v="88"/>
    <n v="199564"/>
    <d v="2024-06-12T00:00:00"/>
    <x v="39"/>
    <n v="2258356.14"/>
  </r>
  <r>
    <s v="강호동"/>
    <s v="냉장고"/>
    <s v="생활가전"/>
    <s v="서울"/>
    <n v="2744092"/>
    <n v="66"/>
    <n v="119694"/>
    <d v="2024-08-17T00:00:00"/>
    <x v="30"/>
    <n v="981595.44"/>
  </r>
  <r>
    <s v="박민수"/>
    <s v="노트북"/>
    <s v="생활가전"/>
    <s v="충청"/>
    <n v="3508281"/>
    <n v="57"/>
    <n v="393160"/>
    <d v="2022-10-16T00:00:00"/>
    <x v="50"/>
    <n v="1974462.42"/>
  </r>
  <r>
    <s v="유재석"/>
    <s v="스마트폰"/>
    <s v="컴퓨터"/>
    <s v="경기"/>
    <n v="380164"/>
    <n v="65"/>
    <n v="190716"/>
    <d v="2022-04-28T00:00:00"/>
    <x v="11"/>
    <n v="3254309.41"/>
  </r>
  <r>
    <s v="유재석"/>
    <s v="냉장고"/>
    <s v="전자제품"/>
    <s v="제주"/>
    <n v="3819331"/>
    <n v="76"/>
    <n v="85370"/>
    <d v="2023-04-04T00:00:00"/>
    <x v="42"/>
    <n v="1822311.56"/>
  </r>
  <r>
    <s v="최준혁"/>
    <s v="스마트워치"/>
    <s v="오디오"/>
    <s v="경기"/>
    <n v="4251476"/>
    <n v="20"/>
    <n v="278053"/>
    <d v="2024-05-06T00:00:00"/>
    <x v="26"/>
    <n v="296633.03999999998"/>
  </r>
  <r>
    <s v="이영희"/>
    <s v="전자레인지"/>
    <s v="가전"/>
    <s v="인천"/>
    <n v="3842792"/>
    <n v="83"/>
    <n v="225151"/>
    <d v="2024-08-11T00:00:00"/>
    <x v="36"/>
    <n v="1310161.06"/>
  </r>
  <r>
    <s v="유재석"/>
    <s v="노트북"/>
    <s v="컴퓨터"/>
    <s v="부산"/>
    <n v="3975328"/>
    <n v="6"/>
    <n v="415444"/>
    <d v="2022-04-28T00:00:00"/>
    <x v="11"/>
    <n v="2601636.75"/>
  </r>
  <r>
    <s v="한지민"/>
    <s v="냉장고"/>
    <s v="전자제품"/>
    <s v="대구"/>
    <n v="34676"/>
    <n v="49"/>
    <n v="221769"/>
    <d v="2022-08-23T00:00:00"/>
    <x v="25"/>
    <n v="1462434.65"/>
  </r>
  <r>
    <s v="송하나"/>
    <s v="스마트폰"/>
    <s v="오디오"/>
    <s v="서울"/>
    <n v="3337017"/>
    <n v="31"/>
    <n v="55695"/>
    <d v="2024-02-27T00:00:00"/>
    <x v="19"/>
    <n v="288819"/>
  </r>
  <r>
    <s v="박민수"/>
    <s v="TV"/>
    <s v="오디오"/>
    <s v="서울"/>
    <n v="837902"/>
    <n v="75"/>
    <n v="180616"/>
    <d v="2022-08-14T00:00:00"/>
    <x v="15"/>
    <n v="2946354.32"/>
  </r>
  <r>
    <s v="정우성"/>
    <s v="태블릿"/>
    <s v="생활가전"/>
    <s v="대구"/>
    <n v="566665"/>
    <n v="66"/>
    <n v="167424"/>
    <d v="2024-09-26T00:00:00"/>
    <x v="46"/>
    <n v="3518380.15"/>
  </r>
  <r>
    <s v="이영희"/>
    <s v="스마트워치"/>
    <s v="오디오"/>
    <s v="충청"/>
    <n v="3444030"/>
    <n v="16"/>
    <n v="57417"/>
    <d v="2022-03-22T00:00:00"/>
    <x v="44"/>
    <n v="2509740.08"/>
  </r>
  <r>
    <s v="박민수"/>
    <s v="TV"/>
    <s v="오디오"/>
    <s v="울산"/>
    <n v="691754"/>
    <n v="30"/>
    <n v="195365"/>
    <d v="2023-10-06T00:00:00"/>
    <x v="5"/>
    <n v="2181709.3199999998"/>
  </r>
  <r>
    <s v="이영희"/>
    <s v="스마트워치"/>
    <s v="오디오"/>
    <s v="광주"/>
    <n v="4398805"/>
    <n v="41"/>
    <n v="345357"/>
    <d v="2024-03-17T00:00:00"/>
    <x v="4"/>
    <n v="1859891.86"/>
  </r>
  <r>
    <s v="김철수"/>
    <s v="스마트폰"/>
    <s v="전자제품"/>
    <s v="제주"/>
    <n v="1039382"/>
    <n v="39"/>
    <n v="253767"/>
    <d v="2023-04-21T00:00:00"/>
    <x v="32"/>
    <n v="1574354.66"/>
  </r>
  <r>
    <s v="이지은"/>
    <s v="스마트폰"/>
    <s v="전자제품"/>
    <s v="인천"/>
    <n v="1066889"/>
    <n v="91"/>
    <n v="444319"/>
    <d v="2023-10-17T00:00:00"/>
    <x v="10"/>
    <n v="1818785.97"/>
  </r>
  <r>
    <s v="정우성"/>
    <s v="냉장고"/>
    <s v="모바일"/>
    <s v="부산"/>
    <n v="1461933"/>
    <n v="14"/>
    <n v="346800"/>
    <d v="2022-01-24T00:00:00"/>
    <x v="11"/>
    <n v="338145.22"/>
  </r>
  <r>
    <s v="김철수"/>
    <s v="카메라"/>
    <s v="컴퓨터"/>
    <s v="울산"/>
    <n v="3688365"/>
    <n v="19"/>
    <n v="274549"/>
    <d v="2023-04-10T00:00:00"/>
    <x v="47"/>
    <n v="2283783.36"/>
  </r>
  <r>
    <s v="송하나"/>
    <s v="전자레인지"/>
    <s v="카메라"/>
    <s v="대구"/>
    <n v="3004584"/>
    <n v="96"/>
    <n v="75089"/>
    <d v="2023-09-20T00:00:00"/>
    <x v="34"/>
    <n v="3332859.66"/>
  </r>
  <r>
    <s v="박민수"/>
    <s v="TV"/>
    <s v="오디오"/>
    <s v="부산"/>
    <n v="4165266"/>
    <n v="71"/>
    <n v="95098"/>
    <d v="2024-06-28T00:00:00"/>
    <x v="41"/>
    <n v="1679644.08"/>
  </r>
  <r>
    <s v="이영희"/>
    <s v="스마트워치"/>
    <s v="가전"/>
    <s v="대구"/>
    <n v="4378213"/>
    <n v="5"/>
    <n v="71352"/>
    <d v="2023-04-25T00:00:00"/>
    <x v="17"/>
    <n v="211259.3"/>
  </r>
  <r>
    <s v="정우성"/>
    <s v="전자레인지"/>
    <s v="카메라"/>
    <s v="대전"/>
    <n v="4945471"/>
    <n v="25"/>
    <n v="72495"/>
    <d v="2023-12-11T00:00:00"/>
    <x v="34"/>
    <n v="429303.84"/>
  </r>
  <r>
    <s v="이영희"/>
    <s v="헤드폰"/>
    <s v="모바일"/>
    <s v="인천"/>
    <n v="4420627"/>
    <n v="88"/>
    <n v="192088"/>
    <d v="2023-01-10T00:00:00"/>
    <x v="17"/>
    <n v="207226.8"/>
  </r>
  <r>
    <s v="박민수"/>
    <s v="TV"/>
    <s v="생활가전"/>
    <s v="강원"/>
    <n v="1369742"/>
    <n v="68"/>
    <n v="392062"/>
    <d v="2024-12-22T00:00:00"/>
    <x v="27"/>
    <n v="374074.15"/>
  </r>
  <r>
    <s v="박민수"/>
    <s v="전자레인지"/>
    <s v="오디오"/>
    <s v="부산"/>
    <n v="2549112"/>
    <n v="62"/>
    <n v="258622"/>
    <d v="2023-06-14T00:00:00"/>
    <x v="16"/>
    <n v="1834888.25"/>
  </r>
  <r>
    <s v="박민수"/>
    <s v="스마트폰"/>
    <s v="생활가전"/>
    <s v="충청"/>
    <n v="3055534"/>
    <n v="76"/>
    <n v="388398"/>
    <d v="2022-04-21T00:00:00"/>
    <x v="18"/>
    <n v="2436389.7599999998"/>
  </r>
  <r>
    <s v="유재석"/>
    <s v="TV"/>
    <s v="컴퓨터"/>
    <s v="제주"/>
    <n v="4773871"/>
    <n v="47"/>
    <n v="365153"/>
    <d v="2022-01-24T00:00:00"/>
    <x v="8"/>
    <n v="2039578.58"/>
  </r>
  <r>
    <s v="한지민"/>
    <s v="전자레인지"/>
    <s v="전자제품"/>
    <s v="서울"/>
    <n v="3186929"/>
    <n v="19"/>
    <n v="440356"/>
    <d v="2023-04-08T00:00:00"/>
    <x v="48"/>
    <n v="872425.08"/>
  </r>
  <r>
    <s v="박민수"/>
    <s v="카메라"/>
    <s v="오디오"/>
    <s v="서울"/>
    <n v="257827"/>
    <n v="80"/>
    <n v="239525"/>
    <d v="2022-03-15T00:00:00"/>
    <x v="48"/>
    <n v="1374715.71"/>
  </r>
  <r>
    <s v="정우성"/>
    <s v="스마트폰"/>
    <s v="생활가전"/>
    <s v="인천"/>
    <n v="2453641"/>
    <n v="45"/>
    <n v="372927"/>
    <d v="2024-11-10T00:00:00"/>
    <x v="49"/>
    <n v="775139.64"/>
  </r>
  <r>
    <s v="유재석"/>
    <s v="전자레인지"/>
    <s v="모바일"/>
    <s v="부산"/>
    <n v="2009195"/>
    <n v="37"/>
    <n v="121609"/>
    <d v="2024-02-06T00:00:00"/>
    <x v="27"/>
    <n v="3486492.81"/>
  </r>
  <r>
    <s v="한지민"/>
    <s v="냉장고"/>
    <s v="생활가전"/>
    <s v="제주"/>
    <n v="1128214"/>
    <n v="38"/>
    <n v="449345"/>
    <d v="2023-03-07T00:00:00"/>
    <x v="41"/>
    <n v="1863092"/>
  </r>
  <r>
    <s v="이영희"/>
    <s v="스마트워치"/>
    <s v="카메라"/>
    <s v="대구"/>
    <n v="4667106"/>
    <n v="9"/>
    <n v="305234"/>
    <d v="2024-12-21T00:00:00"/>
    <x v="8"/>
    <n v="3085730.52"/>
  </r>
  <r>
    <s v="정우성"/>
    <s v="세탁기"/>
    <s v="전자제품"/>
    <s v="제주"/>
    <n v="3423584"/>
    <n v="25"/>
    <n v="259924"/>
    <d v="2022-11-15T00:00:00"/>
    <x v="49"/>
    <n v="1721116.22"/>
  </r>
  <r>
    <s v="정우성"/>
    <s v="카메라"/>
    <s v="카메라"/>
    <s v="대구"/>
    <n v="304106"/>
    <n v="94"/>
    <n v="466488"/>
    <d v="2022-01-27T00:00:00"/>
    <x v="39"/>
    <n v="2934376.38"/>
  </r>
  <r>
    <s v="박민수"/>
    <s v="스마트워치"/>
    <s v="컴퓨터"/>
    <s v="부산"/>
    <n v="3660898"/>
    <n v="4"/>
    <n v="153453"/>
    <d v="2022-09-18T00:00:00"/>
    <x v="11"/>
    <n v="4189198.65"/>
  </r>
  <r>
    <s v="최준혁"/>
    <s v="태블릿"/>
    <s v="오디오"/>
    <s v="울산"/>
    <n v="489847"/>
    <n v="30"/>
    <n v="24747"/>
    <d v="2023-02-01T00:00:00"/>
    <x v="40"/>
    <n v="2249499.87"/>
  </r>
  <r>
    <s v="한지민"/>
    <s v="태블릿"/>
    <s v="컴퓨터"/>
    <s v="전라"/>
    <n v="3244283"/>
    <n v="28"/>
    <n v="295129"/>
    <d v="2022-01-21T00:00:00"/>
    <x v="1"/>
    <n v="1485504"/>
  </r>
  <r>
    <s v="이지은"/>
    <s v="노트북"/>
    <s v="카메라"/>
    <s v="인천"/>
    <n v="746722"/>
    <n v="48"/>
    <n v="434737"/>
    <d v="2023-01-05T00:00:00"/>
    <x v="12"/>
    <n v="34521.300000000003"/>
  </r>
  <r>
    <s v="정우성"/>
    <s v="TV"/>
    <s v="컴퓨터"/>
    <s v="제주"/>
    <n v="2736233"/>
    <n v="96"/>
    <n v="489456"/>
    <d v="2023-10-18T00:00:00"/>
    <x v="4"/>
    <n v="2313157.64"/>
  </r>
  <r>
    <s v="송하나"/>
    <s v="카메라"/>
    <s v="컴퓨터"/>
    <s v="제주"/>
    <n v="4598544"/>
    <n v="35"/>
    <n v="77841"/>
    <d v="2024-12-06T00:00:00"/>
    <x v="21"/>
    <n v="158998.28"/>
  </r>
  <r>
    <s v="한지민"/>
    <s v="헤드폰"/>
    <s v="모바일"/>
    <s v="경기"/>
    <n v="759785"/>
    <n v="90"/>
    <n v="498857"/>
    <d v="2022-08-02T00:00:00"/>
    <x v="15"/>
    <n v="1169361.9199999999"/>
  </r>
  <r>
    <s v="강호동"/>
    <s v="헤드폰"/>
    <s v="가전"/>
    <s v="대구"/>
    <n v="3274706"/>
    <n v="84"/>
    <n v="20611"/>
    <d v="2022-12-14T00:00:00"/>
    <x v="40"/>
    <n v="379232.28"/>
  </r>
  <r>
    <s v="박민수"/>
    <s v="전자레인지"/>
    <s v="생활가전"/>
    <s v="울산"/>
    <n v="1870899"/>
    <n v="54"/>
    <n v="297057"/>
    <d v="2024-05-13T00:00:00"/>
    <x v="3"/>
    <n v="877210.72"/>
  </r>
  <r>
    <s v="박민수"/>
    <s v="냉장고"/>
    <s v="오디오"/>
    <s v="강원"/>
    <n v="537485"/>
    <n v="21"/>
    <n v="224636"/>
    <d v="2022-11-14T00:00:00"/>
    <x v="22"/>
    <n v="3253062.75"/>
  </r>
  <r>
    <s v="이지은"/>
    <s v="세탁기"/>
    <s v="컴퓨터"/>
    <s v="경기"/>
    <n v="385469"/>
    <n v="7"/>
    <n v="322664"/>
    <d v="2022-04-20T00:00:00"/>
    <x v="9"/>
    <n v="2033938.24"/>
  </r>
  <r>
    <s v="이지은"/>
    <s v="헤드폰"/>
    <s v="생활가전"/>
    <s v="대전"/>
    <n v="2657080"/>
    <n v="50"/>
    <n v="77636"/>
    <d v="2023-01-10T00:00:00"/>
    <x v="12"/>
    <n v="845321.76"/>
  </r>
  <r>
    <s v="최준혁"/>
    <s v="헤드폰"/>
    <s v="오디오"/>
    <s v="인천"/>
    <n v="3348089"/>
    <n v="98"/>
    <n v="319338"/>
    <d v="2023-08-04T00:00:00"/>
    <x v="30"/>
    <n v="2036934.9"/>
  </r>
  <r>
    <s v="송하나"/>
    <s v="노트북"/>
    <s v="오디오"/>
    <s v="대전"/>
    <n v="2138156"/>
    <n v="74"/>
    <n v="346644"/>
    <d v="2024-12-12T00:00:00"/>
    <x v="7"/>
    <n v="989165.26"/>
  </r>
  <r>
    <s v="정우성"/>
    <s v="스마트워치"/>
    <s v="전자제품"/>
    <s v="제주"/>
    <n v="1485190"/>
    <n v="70"/>
    <n v="387119"/>
    <d v="2024-10-25T00:00:00"/>
    <x v="25"/>
    <n v="4228869.5999999996"/>
  </r>
  <r>
    <s v="한지민"/>
    <s v="TV"/>
    <s v="전자제품"/>
    <s v="울산"/>
    <n v="4121273"/>
    <n v="27"/>
    <n v="226586"/>
    <d v="2022-12-17T00:00:00"/>
    <x v="49"/>
    <n v="2873149.06"/>
  </r>
  <r>
    <s v="한지민"/>
    <s v="TV"/>
    <s v="카메라"/>
    <s v="서울"/>
    <n v="2363541"/>
    <n v="39"/>
    <n v="496710"/>
    <d v="2024-03-03T00:00:00"/>
    <x v="35"/>
    <n v="2431150.5"/>
  </r>
  <r>
    <s v="강호동"/>
    <s v="전자레인지"/>
    <s v="가전"/>
    <s v="강원"/>
    <n v="231321"/>
    <n v="73"/>
    <n v="464442"/>
    <d v="2022-01-11T00:00:00"/>
    <x v="25"/>
    <n v="880963.02"/>
  </r>
  <r>
    <s v="정우성"/>
    <s v="노트북"/>
    <s v="모바일"/>
    <s v="전라"/>
    <n v="2199554"/>
    <n v="10"/>
    <n v="162079"/>
    <d v="2023-08-08T00:00:00"/>
    <x v="39"/>
    <n v="1883764.79"/>
  </r>
  <r>
    <s v="최준혁"/>
    <s v="카메라"/>
    <s v="컴퓨터"/>
    <s v="광주"/>
    <n v="2223088"/>
    <n v="83"/>
    <n v="75788"/>
    <d v="2023-07-28T00:00:00"/>
    <x v="3"/>
    <n v="4253729.3600000003"/>
  </r>
  <r>
    <s v="유재석"/>
    <s v="TV"/>
    <s v="가전"/>
    <s v="대구"/>
    <n v="2816974"/>
    <n v="79"/>
    <n v="311875"/>
    <d v="2023-12-01T00:00:00"/>
    <x v="48"/>
    <n v="3392297.05"/>
  </r>
  <r>
    <s v="이지은"/>
    <s v="카메라"/>
    <s v="모바일"/>
    <s v="부산"/>
    <n v="3690464"/>
    <n v="9"/>
    <n v="426880"/>
    <d v="2022-01-05T00:00:00"/>
    <x v="0"/>
    <n v="1002377.22"/>
  </r>
  <r>
    <s v="송하나"/>
    <s v="세탁기"/>
    <s v="컴퓨터"/>
    <s v="인천"/>
    <n v="3263366"/>
    <n v="55"/>
    <n v="149724"/>
    <d v="2022-05-12T00:00:00"/>
    <x v="16"/>
    <n v="3857363.51"/>
  </r>
  <r>
    <s v="정우성"/>
    <s v="TV"/>
    <s v="가전"/>
    <s v="인천"/>
    <n v="4208721"/>
    <n v="55"/>
    <n v="356726"/>
    <d v="2024-08-09T00:00:00"/>
    <x v="39"/>
    <n v="2744712.2"/>
  </r>
  <r>
    <s v="강호동"/>
    <s v="TV"/>
    <s v="모바일"/>
    <s v="충청"/>
    <n v="845611"/>
    <n v="64"/>
    <n v="213845"/>
    <d v="2022-07-11T00:00:00"/>
    <x v="36"/>
    <n v="2177369.91"/>
  </r>
  <r>
    <s v="강호동"/>
    <s v="TV"/>
    <s v="카메라"/>
    <s v="경기"/>
    <n v="2101114"/>
    <n v="29"/>
    <n v="137870"/>
    <d v="2024-01-27T00:00:00"/>
    <x v="11"/>
    <n v="2390835"/>
  </r>
  <r>
    <s v="한지민"/>
    <s v="전자레인지"/>
    <s v="전자제품"/>
    <s v="광주"/>
    <n v="2281545"/>
    <n v="28"/>
    <n v="253901"/>
    <d v="2023-08-10T00:00:00"/>
    <x v="29"/>
    <n v="1355202.8"/>
  </r>
  <r>
    <s v="정우성"/>
    <s v="세탁기"/>
    <s v="생활가전"/>
    <s v="대전"/>
    <n v="3545964"/>
    <n v="94"/>
    <n v="67345"/>
    <d v="2022-10-10T00:00:00"/>
    <x v="1"/>
    <n v="4663433.6100000003"/>
  </r>
  <r>
    <s v="강호동"/>
    <s v="헤드폰"/>
    <s v="생활가전"/>
    <s v="인천"/>
    <n v="171477"/>
    <n v="18"/>
    <n v="56011"/>
    <d v="2022-03-18T00:00:00"/>
    <x v="18"/>
    <n v="521684.46"/>
  </r>
  <r>
    <s v="정우성"/>
    <s v="태블릿"/>
    <s v="모바일"/>
    <s v="경기"/>
    <n v="3216730"/>
    <n v="68"/>
    <n v="455677"/>
    <d v="2023-02-19T00:00:00"/>
    <x v="33"/>
    <n v="362611.6"/>
  </r>
  <r>
    <s v="이영희"/>
    <s v="카메라"/>
    <s v="오디오"/>
    <s v="경상"/>
    <n v="1973851"/>
    <n v="84"/>
    <n v="177949"/>
    <d v="2023-11-10T00:00:00"/>
    <x v="6"/>
    <n v="1363031.61"/>
  </r>
  <r>
    <s v="한지민"/>
    <s v="냉장고"/>
    <s v="전자제품"/>
    <s v="광주"/>
    <n v="3688184"/>
    <n v="85"/>
    <n v="121004"/>
    <d v="2024-06-07T00:00:00"/>
    <x v="35"/>
    <n v="2307099.34"/>
  </r>
  <r>
    <s v="강호동"/>
    <s v="헤드폰"/>
    <s v="컴퓨터"/>
    <s v="광주"/>
    <n v="2775404"/>
    <n v="96"/>
    <n v="75728"/>
    <d v="2022-08-04T00:00:00"/>
    <x v="4"/>
    <n v="481456.5"/>
  </r>
  <r>
    <s v="이영희"/>
    <s v="TV"/>
    <s v="전자제품"/>
    <s v="대전"/>
    <n v="3098783"/>
    <n v="6"/>
    <n v="216955"/>
    <d v="2023-05-24T00:00:00"/>
    <x v="44"/>
    <n v="2166460.92"/>
  </r>
  <r>
    <s v="이지은"/>
    <s v="냉장고"/>
    <s v="오디오"/>
    <s v="서울"/>
    <n v="1142727"/>
    <n v="58"/>
    <n v="244187"/>
    <d v="2022-09-09T00:00:00"/>
    <x v="0"/>
    <n v="2293314.02"/>
  </r>
  <r>
    <s v="김철수"/>
    <s v="헤드폰"/>
    <s v="카메라"/>
    <s v="부산"/>
    <n v="3386415"/>
    <n v="66"/>
    <n v="97321"/>
    <d v="2023-12-14T00:00:00"/>
    <x v="20"/>
    <n v="3210636.63"/>
  </r>
  <r>
    <s v="최준혁"/>
    <s v="냉장고"/>
    <s v="가전"/>
    <s v="전라"/>
    <n v="679871"/>
    <n v="15"/>
    <n v="139026"/>
    <d v="2024-03-06T00:00:00"/>
    <x v="1"/>
    <n v="2250669.2599999998"/>
  </r>
  <r>
    <s v="이지은"/>
    <s v="카메라"/>
    <s v="카메라"/>
    <s v="강원"/>
    <n v="4161705"/>
    <n v="64"/>
    <n v="37821"/>
    <d v="2024-10-06T00:00:00"/>
    <x v="22"/>
    <n v="826502.62"/>
  </r>
  <r>
    <s v="이지은"/>
    <s v="전자레인지"/>
    <s v="카메라"/>
    <s v="광주"/>
    <n v="4096044"/>
    <n v="76"/>
    <n v="63773"/>
    <d v="2022-01-02T00:00:00"/>
    <x v="44"/>
    <n v="1505591.84"/>
  </r>
  <r>
    <s v="송하나"/>
    <s v="세탁기"/>
    <s v="전자제품"/>
    <s v="광주"/>
    <n v="3487479"/>
    <n v="33"/>
    <n v="209497"/>
    <d v="2023-04-10T00:00:00"/>
    <x v="3"/>
    <n v="1066229.3999999999"/>
  </r>
  <r>
    <s v="이지은"/>
    <s v="전자레인지"/>
    <s v="전자제품"/>
    <s v="서울"/>
    <n v="2470150"/>
    <n v="40"/>
    <n v="473506"/>
    <d v="2022-12-10T00:00:00"/>
    <x v="0"/>
    <n v="2197660.9"/>
  </r>
  <r>
    <s v="정우성"/>
    <s v="냉장고"/>
    <s v="생활가전"/>
    <s v="강원"/>
    <n v="4275359"/>
    <n v="69"/>
    <n v="484967"/>
    <d v="2023-05-10T00:00:00"/>
    <x v="48"/>
    <n v="569821.15"/>
  </r>
  <r>
    <s v="이영희"/>
    <s v="스마트폰"/>
    <s v="카메라"/>
    <s v="광주"/>
    <n v="307811"/>
    <n v="39"/>
    <n v="46824"/>
    <d v="2022-07-26T00:00:00"/>
    <x v="46"/>
    <n v="550851.36"/>
  </r>
  <r>
    <s v="한지민"/>
    <s v="세탁기"/>
    <s v="모바일"/>
    <s v="울산"/>
    <n v="4093408"/>
    <n v="75"/>
    <n v="247128"/>
    <d v="2022-06-28T00:00:00"/>
    <x v="38"/>
    <n v="1923870.96"/>
  </r>
  <r>
    <s v="정우성"/>
    <s v="스마트워치"/>
    <s v="오디오"/>
    <s v="대구"/>
    <n v="2855395"/>
    <n v="78"/>
    <n v="490057"/>
    <d v="2023-09-05T00:00:00"/>
    <x v="22"/>
    <n v="2395228.4700000002"/>
  </r>
  <r>
    <s v="강호동"/>
    <s v="스마트워치"/>
    <s v="카메라"/>
    <s v="경기"/>
    <n v="2412550"/>
    <n v="94"/>
    <n v="172918"/>
    <d v="2022-12-21T00:00:00"/>
    <x v="9"/>
    <n v="1061941.92"/>
  </r>
  <r>
    <s v="이영희"/>
    <s v="헤드폰"/>
    <s v="가전"/>
    <s v="인천"/>
    <n v="3872723"/>
    <n v="1"/>
    <n v="400159"/>
    <d v="2023-09-02T00:00:00"/>
    <x v="27"/>
    <n v="1334006.67"/>
  </r>
  <r>
    <s v="박민수"/>
    <s v="카메라"/>
    <s v="카메라"/>
    <s v="광주"/>
    <n v="4609292"/>
    <n v="1"/>
    <n v="282751"/>
    <d v="2022-08-13T00:00:00"/>
    <x v="29"/>
    <n v="2764962.2"/>
  </r>
  <r>
    <s v="박민수"/>
    <s v="TV"/>
    <s v="컴퓨터"/>
    <s v="경기"/>
    <n v="3502414"/>
    <n v="78"/>
    <n v="99911"/>
    <d v="2023-12-27T00:00:00"/>
    <x v="41"/>
    <n v="1526029.92"/>
  </r>
  <r>
    <s v="김철수"/>
    <s v="TV"/>
    <s v="전자제품"/>
    <s v="강원"/>
    <n v="3664373"/>
    <n v="22"/>
    <n v="356062"/>
    <d v="2022-09-26T00:00:00"/>
    <x v="7"/>
    <n v="4061198.96"/>
  </r>
  <r>
    <s v="이영희"/>
    <s v="헤드폰"/>
    <s v="생활가전"/>
    <s v="전라"/>
    <n v="556040"/>
    <n v="17"/>
    <n v="396659"/>
    <d v="2023-06-21T00:00:00"/>
    <x v="31"/>
    <n v="2432241.7599999998"/>
  </r>
  <r>
    <s v="정우성"/>
    <s v="카메라"/>
    <s v="생활가전"/>
    <s v="부산"/>
    <n v="44075"/>
    <n v="80"/>
    <n v="24688"/>
    <d v="2022-12-04T00:00:00"/>
    <x v="4"/>
    <n v="3695464.08"/>
  </r>
  <r>
    <s v="송하나"/>
    <s v="태블릿"/>
    <s v="생활가전"/>
    <s v="강원"/>
    <n v="4572955"/>
    <n v="19"/>
    <n v="491150"/>
    <d v="2024-08-28T00:00:00"/>
    <x v="29"/>
    <n v="2158056.48"/>
  </r>
  <r>
    <s v="송하나"/>
    <s v="태블릿"/>
    <s v="가전"/>
    <s v="경기"/>
    <n v="3303394"/>
    <n v="5"/>
    <n v="151449"/>
    <d v="2022-10-15T00:00:00"/>
    <x v="45"/>
    <n v="4211432"/>
  </r>
  <r>
    <s v="정우성"/>
    <s v="스마트워치"/>
    <s v="전자제품"/>
    <s v="전라"/>
    <n v="3858322"/>
    <n v="73"/>
    <n v="294174"/>
    <d v="2024-10-11T00:00:00"/>
    <x v="15"/>
    <n v="4483848.88"/>
  </r>
  <r>
    <s v="유재석"/>
    <s v="헤드폰"/>
    <s v="컴퓨터"/>
    <s v="대전"/>
    <n v="626533"/>
    <n v="29"/>
    <n v="445813"/>
    <d v="2024-12-11T00:00:00"/>
    <x v="12"/>
    <n v="883844.94"/>
  </r>
  <r>
    <s v="정우성"/>
    <s v="TV"/>
    <s v="가전"/>
    <s v="서울"/>
    <n v="656087"/>
    <n v="24"/>
    <n v="135032"/>
    <d v="2022-03-22T00:00:00"/>
    <x v="30"/>
    <n v="1001404.22"/>
  </r>
  <r>
    <s v="정우성"/>
    <s v="스마트워치"/>
    <s v="컴퓨터"/>
    <s v="경상"/>
    <n v="4362049"/>
    <n v="53"/>
    <n v="36293"/>
    <d v="2022-09-10T00:00:00"/>
    <x v="9"/>
    <n v="1038744.63"/>
  </r>
  <r>
    <s v="최준혁"/>
    <s v="전자레인지"/>
    <s v="생활가전"/>
    <s v="충청"/>
    <n v="1546186"/>
    <n v="56"/>
    <n v="376115"/>
    <d v="2023-03-04T00:00:00"/>
    <x v="2"/>
    <n v="1468225.55"/>
  </r>
  <r>
    <s v="송하나"/>
    <s v="세탁기"/>
    <s v="전자제품"/>
    <s v="제주"/>
    <n v="258391"/>
    <n v="57"/>
    <n v="92970"/>
    <d v="2024-09-03T00:00:00"/>
    <x v="49"/>
    <n v="2934268.47"/>
  </r>
  <r>
    <s v="김철수"/>
    <s v="카메라"/>
    <s v="모바일"/>
    <s v="대전"/>
    <n v="4566084"/>
    <n v="83"/>
    <n v="153791"/>
    <d v="2022-08-20T00:00:00"/>
    <x v="31"/>
    <n v="2789066.28"/>
  </r>
  <r>
    <s v="이영희"/>
    <s v="헤드폰"/>
    <s v="전자제품"/>
    <s v="부산"/>
    <n v="3114960"/>
    <n v="85"/>
    <n v="141387"/>
    <d v="2022-05-10T00:00:00"/>
    <x v="1"/>
    <n v="1761474.06"/>
  </r>
  <r>
    <s v="강호동"/>
    <s v="헤드폰"/>
    <s v="카메라"/>
    <s v="대전"/>
    <n v="3211562"/>
    <n v="98"/>
    <n v="396043"/>
    <d v="2023-02-22T00:00:00"/>
    <x v="15"/>
    <n v="608127.36"/>
  </r>
  <r>
    <s v="정우성"/>
    <s v="스마트폰"/>
    <s v="생활가전"/>
    <s v="부산"/>
    <n v="1902944"/>
    <n v="91"/>
    <n v="283574"/>
    <d v="2023-01-02T00:00:00"/>
    <x v="45"/>
    <n v="2248335.0299999998"/>
  </r>
  <r>
    <s v="유재석"/>
    <s v="전자레인지"/>
    <s v="컴퓨터"/>
    <s v="제주"/>
    <n v="1291083"/>
    <n v="65"/>
    <n v="478969"/>
    <d v="2023-02-28T00:00:00"/>
    <x v="17"/>
    <n v="2171441.86"/>
  </r>
  <r>
    <s v="박민수"/>
    <s v="카메라"/>
    <s v="카메라"/>
    <s v="경상"/>
    <n v="3962122"/>
    <n v="13"/>
    <n v="428765"/>
    <d v="2022-01-23T00:00:00"/>
    <x v="49"/>
    <n v="1078974.1599999999"/>
  </r>
  <r>
    <s v="김철수"/>
    <s v="카메라"/>
    <s v="컴퓨터"/>
    <s v="서울"/>
    <n v="621552"/>
    <n v="90"/>
    <n v="430163"/>
    <d v="2024-03-13T00:00:00"/>
    <x v="17"/>
    <n v="2688309.25"/>
  </r>
  <r>
    <s v="이지은"/>
    <s v="냉장고"/>
    <s v="생활가전"/>
    <s v="강원"/>
    <n v="562780"/>
    <n v="83"/>
    <n v="411016"/>
    <d v="2023-06-02T00:00:00"/>
    <x v="37"/>
    <n v="860459.56"/>
  </r>
  <r>
    <s v="정우성"/>
    <s v="세탁기"/>
    <s v="모바일"/>
    <s v="강원"/>
    <n v="2980128"/>
    <n v="16"/>
    <n v="277282"/>
    <d v="2024-03-27T00:00:00"/>
    <x v="11"/>
    <n v="826377.33"/>
  </r>
  <r>
    <s v="송하나"/>
    <s v="헤드폰"/>
    <s v="생활가전"/>
    <s v="경상"/>
    <n v="1457778"/>
    <n v="87"/>
    <n v="95445"/>
    <d v="2022-02-23T00:00:00"/>
    <x v="11"/>
    <n v="2279454.87"/>
  </r>
  <r>
    <s v="이지은"/>
    <s v="헤드폰"/>
    <s v="모바일"/>
    <s v="강원"/>
    <n v="1351898"/>
    <n v="52"/>
    <n v="448513"/>
    <d v="2022-05-05T00:00:00"/>
    <x v="26"/>
    <n v="3103119"/>
  </r>
  <r>
    <s v="정우성"/>
    <s v="세탁기"/>
    <s v="생활가전"/>
    <s v="전라"/>
    <n v="518470"/>
    <n v="78"/>
    <n v="102630"/>
    <d v="2022-09-12T00:00:00"/>
    <x v="13"/>
    <n v="3875436.64"/>
  </r>
  <r>
    <s v="박민수"/>
    <s v="TV"/>
    <s v="가전"/>
    <s v="경상"/>
    <n v="1901095"/>
    <n v="58"/>
    <n v="498772"/>
    <d v="2022-04-10T00:00:00"/>
    <x v="22"/>
    <n v="36940.28"/>
  </r>
  <r>
    <s v="이영희"/>
    <s v="스마트폰"/>
    <s v="전자제품"/>
    <s v="전라"/>
    <n v="786215"/>
    <n v="100"/>
    <n v="370405"/>
    <d v="2022-05-15T00:00:00"/>
    <x v="18"/>
    <n v="320410.2"/>
  </r>
  <r>
    <s v="이영희"/>
    <s v="TV"/>
    <s v="컴퓨터"/>
    <s v="대전"/>
    <n v="495189"/>
    <n v="76"/>
    <n v="384445"/>
    <d v="2024-11-22T00:00:00"/>
    <x v="36"/>
    <n v="314038.68"/>
  </r>
  <r>
    <s v="송하나"/>
    <s v="전자레인지"/>
    <s v="생활가전"/>
    <s v="제주"/>
    <n v="1274391"/>
    <n v="33"/>
    <n v="66782"/>
    <d v="2023-08-06T00:00:00"/>
    <x v="33"/>
    <n v="4377237.0999999996"/>
  </r>
  <r>
    <s v="한지민"/>
    <s v="TV"/>
    <s v="전자제품"/>
    <s v="대전"/>
    <n v="298403"/>
    <n v="55"/>
    <n v="275447"/>
    <d v="2022-09-13T00:00:00"/>
    <x v="43"/>
    <n v="599524.71"/>
  </r>
  <r>
    <s v="유재석"/>
    <s v="냉장고"/>
    <s v="오디오"/>
    <s v="경상"/>
    <n v="4198709"/>
    <n v="99"/>
    <n v="488205"/>
    <d v="2023-01-19T00:00:00"/>
    <x v="24"/>
    <n v="493472"/>
  </r>
  <r>
    <s v="유재석"/>
    <s v="카메라"/>
    <s v="가전"/>
    <s v="광주"/>
    <n v="4772800"/>
    <n v="52"/>
    <n v="187090"/>
    <d v="2022-01-17T00:00:00"/>
    <x v="20"/>
    <n v="2856043.54"/>
  </r>
  <r>
    <s v="김철수"/>
    <s v="전자레인지"/>
    <s v="전자제품"/>
    <s v="경기"/>
    <n v="3524190"/>
    <n v="80"/>
    <n v="456843"/>
    <d v="2022-04-15T00:00:00"/>
    <x v="26"/>
    <n v="2258208.7999999998"/>
  </r>
  <r>
    <s v="최준혁"/>
    <s v="스마트워치"/>
    <s v="컴퓨터"/>
    <s v="경기"/>
    <n v="917232"/>
    <n v="6"/>
    <n v="136470"/>
    <d v="2024-07-24T00:00:00"/>
    <x v="15"/>
    <n v="3364584.44"/>
  </r>
  <r>
    <s v="정우성"/>
    <s v="스마트폰"/>
    <s v="가전"/>
    <s v="서울"/>
    <n v="2833360"/>
    <n v="4"/>
    <n v="306957"/>
    <d v="2024-07-06T00:00:00"/>
    <x v="18"/>
    <n v="1658613.74"/>
  </r>
  <r>
    <s v="박민수"/>
    <s v="노트북"/>
    <s v="컴퓨터"/>
    <s v="광주"/>
    <n v="2898386"/>
    <n v="48"/>
    <n v="318892"/>
    <d v="2024-08-10T00:00:00"/>
    <x v="13"/>
    <n v="2734682.72"/>
  </r>
  <r>
    <s v="송하나"/>
    <s v="스마트폰"/>
    <s v="가전"/>
    <s v="충청"/>
    <n v="3348747"/>
    <n v="36"/>
    <n v="132005"/>
    <d v="2022-11-01T00:00:00"/>
    <x v="21"/>
    <n v="889791.98"/>
  </r>
  <r>
    <s v="유재석"/>
    <s v="노트북"/>
    <s v="카메라"/>
    <s v="대구"/>
    <n v="485296"/>
    <n v="92"/>
    <n v="15535"/>
    <d v="2023-03-24T00:00:00"/>
    <x v="20"/>
    <n v="1448163.14"/>
  </r>
  <r>
    <s v="한지민"/>
    <s v="헤드폰"/>
    <s v="카메라"/>
    <s v="강원"/>
    <n v="4953431"/>
    <n v="1"/>
    <n v="440170"/>
    <d v="2024-03-09T00:00:00"/>
    <x v="27"/>
    <n v="2039513.77"/>
  </r>
  <r>
    <s v="김철수"/>
    <s v="전자레인지"/>
    <s v="모바일"/>
    <s v="전라"/>
    <n v="2656052"/>
    <n v="18"/>
    <n v="463387"/>
    <d v="2022-04-18T00:00:00"/>
    <x v="15"/>
    <n v="1760643.84"/>
  </r>
  <r>
    <s v="강호동"/>
    <s v="노트북"/>
    <s v="가전"/>
    <s v="서울"/>
    <n v="2807148"/>
    <n v="73"/>
    <n v="444026"/>
    <d v="2023-09-12T00:00:00"/>
    <x v="39"/>
    <n v="3395475.28"/>
  </r>
  <r>
    <s v="이지은"/>
    <s v="카메라"/>
    <s v="전자제품"/>
    <s v="경상"/>
    <n v="2150210"/>
    <n v="29"/>
    <n v="16889"/>
    <d v="2024-01-03T00:00:00"/>
    <x v="36"/>
    <n v="2816084.25"/>
  </r>
  <r>
    <s v="최준혁"/>
    <s v="태블릿"/>
    <s v="카메라"/>
    <s v="울산"/>
    <n v="4780192"/>
    <n v="51"/>
    <n v="249280"/>
    <d v="2023-05-03T00:00:00"/>
    <x v="8"/>
    <n v="1056003.96"/>
  </r>
  <r>
    <s v="한지민"/>
    <s v="스마트폰"/>
    <s v="모바일"/>
    <s v="강원"/>
    <n v="4256553"/>
    <n v="62"/>
    <n v="82773"/>
    <d v="2024-10-05T00:00:00"/>
    <x v="35"/>
    <n v="229229.6"/>
  </r>
  <r>
    <s v="강호동"/>
    <s v="TV"/>
    <s v="컴퓨터"/>
    <s v="울산"/>
    <n v="4767263"/>
    <n v="33"/>
    <n v="476210"/>
    <d v="2022-06-12T00:00:00"/>
    <x v="49"/>
    <n v="1379070.5"/>
  </r>
  <r>
    <s v="강호동"/>
    <s v="전자레인지"/>
    <s v="모바일"/>
    <s v="대구"/>
    <n v="1300919"/>
    <n v="73"/>
    <n v="37514"/>
    <d v="2024-02-18T00:00:00"/>
    <x v="33"/>
    <n v="161088"/>
  </r>
  <r>
    <s v="김철수"/>
    <s v="냉장고"/>
    <s v="전자제품"/>
    <s v="강원"/>
    <n v="1784771"/>
    <n v="56"/>
    <n v="71553"/>
    <d v="2023-10-01T00:00:00"/>
    <x v="11"/>
    <n v="3147610.72"/>
  </r>
  <r>
    <s v="유재석"/>
    <s v="세탁기"/>
    <s v="가전"/>
    <s v="경상"/>
    <n v="3559409"/>
    <n v="9"/>
    <n v="497114"/>
    <d v="2023-08-23T00:00:00"/>
    <x v="49"/>
    <n v="2299937.7599999998"/>
  </r>
  <r>
    <s v="정우성"/>
    <s v="세탁기"/>
    <s v="컴퓨터"/>
    <s v="충청"/>
    <n v="4846328"/>
    <n v="38"/>
    <n v="277013"/>
    <d v="2022-03-03T00:00:00"/>
    <x v="7"/>
    <n v="2490723.2000000002"/>
  </r>
  <r>
    <s v="김철수"/>
    <s v="스마트워치"/>
    <s v="카메라"/>
    <s v="충청"/>
    <n v="1171669"/>
    <n v="32"/>
    <n v="303492"/>
    <d v="2024-01-01T00:00:00"/>
    <x v="6"/>
    <n v="3449165.4"/>
  </r>
  <r>
    <s v="유재석"/>
    <s v="냉장고"/>
    <s v="가전"/>
    <s v="서울"/>
    <n v="3061892"/>
    <n v="9"/>
    <n v="448335"/>
    <d v="2024-04-26T00:00:00"/>
    <x v="4"/>
    <n v="572004"/>
  </r>
  <r>
    <s v="이영희"/>
    <s v="전자레인지"/>
    <s v="모바일"/>
    <s v="강원"/>
    <n v="4950050"/>
    <n v="53"/>
    <n v="122943"/>
    <d v="2023-06-03T00:00:00"/>
    <x v="1"/>
    <n v="1426236.9"/>
  </r>
  <r>
    <s v="강호동"/>
    <s v="세탁기"/>
    <s v="오디오"/>
    <s v="강원"/>
    <n v="336413"/>
    <n v="34"/>
    <n v="322004"/>
    <d v="2023-04-03T00:00:00"/>
    <x v="35"/>
    <n v="407099.1"/>
  </r>
  <r>
    <s v="박민수"/>
    <s v="전자레인지"/>
    <s v="가전"/>
    <s v="서울"/>
    <n v="2620778"/>
    <n v="14"/>
    <n v="254155"/>
    <d v="2022-03-04T00:00:00"/>
    <x v="48"/>
    <n v="2568418.2000000002"/>
  </r>
  <r>
    <s v="정우성"/>
    <s v="태블릿"/>
    <s v="카메라"/>
    <s v="대구"/>
    <n v="4395598"/>
    <n v="66"/>
    <n v="499429"/>
    <d v="2024-10-23T00:00:00"/>
    <x v="3"/>
    <n v="1779583.68"/>
  </r>
  <r>
    <s v="유재석"/>
    <s v="TV"/>
    <s v="컴퓨터"/>
    <s v="제주"/>
    <n v="3894271"/>
    <n v="45"/>
    <n v="15682"/>
    <d v="2024-05-09T00:00:00"/>
    <x v="33"/>
    <n v="2768882.46"/>
  </r>
  <r>
    <s v="이영희"/>
    <s v="태블릿"/>
    <s v="모바일"/>
    <s v="인천"/>
    <n v="2781781"/>
    <n v="86"/>
    <n v="47575"/>
    <d v="2022-06-10T00:00:00"/>
    <x v="4"/>
    <n v="1883027.63"/>
  </r>
  <r>
    <s v="송하나"/>
    <s v="노트북"/>
    <s v="전자제품"/>
    <s v="경기"/>
    <n v="3274235"/>
    <n v="94"/>
    <n v="311964"/>
    <d v="2023-03-14T00:00:00"/>
    <x v="10"/>
    <n v="2580848"/>
  </r>
  <r>
    <s v="박민수"/>
    <s v="스마트워치"/>
    <s v="생활가전"/>
    <s v="경기"/>
    <n v="4892888"/>
    <n v="22"/>
    <n v="80823"/>
    <d v="2023-01-25T00:00:00"/>
    <x v="16"/>
    <n v="1513268.46"/>
  </r>
  <r>
    <s v="송하나"/>
    <s v="TV"/>
    <s v="생활가전"/>
    <s v="전라"/>
    <n v="2768108"/>
    <n v="53"/>
    <n v="299894"/>
    <d v="2024-06-01T00:00:00"/>
    <x v="24"/>
    <n v="2389628.2400000002"/>
  </r>
  <r>
    <s v="김철수"/>
    <s v="세탁기"/>
    <s v="가전"/>
    <s v="전라"/>
    <n v="4998864"/>
    <n v="97"/>
    <n v="155150"/>
    <d v="2023-02-08T00:00:00"/>
    <x v="37"/>
    <n v="444298.23"/>
  </r>
  <r>
    <s v="최준혁"/>
    <s v="전자레인지"/>
    <s v="카메라"/>
    <s v="강원"/>
    <n v="4355262"/>
    <n v="46"/>
    <n v="154094"/>
    <d v="2024-04-10T00:00:00"/>
    <x v="11"/>
    <n v="581452.19999999995"/>
  </r>
  <r>
    <s v="한지민"/>
    <s v="전자레인지"/>
    <s v="오디오"/>
    <s v="경상"/>
    <n v="2178885"/>
    <n v="47"/>
    <n v="464162"/>
    <d v="2022-01-09T00:00:00"/>
    <x v="16"/>
    <n v="2572062.2000000002"/>
  </r>
  <r>
    <s v="송하나"/>
    <s v="전자레인지"/>
    <s v="카메라"/>
    <s v="강원"/>
    <n v="1356091"/>
    <n v="31"/>
    <n v="258938"/>
    <d v="2022-09-20T00:00:00"/>
    <x v="27"/>
    <n v="3654235.13"/>
  </r>
  <r>
    <s v="한지민"/>
    <s v="태블릿"/>
    <s v="가전"/>
    <s v="충청"/>
    <n v="2587435"/>
    <n v="59"/>
    <n v="298348"/>
    <d v="2022-10-22T00:00:00"/>
    <x v="1"/>
    <n v="4658526.04"/>
  </r>
  <r>
    <s v="최준혁"/>
    <s v="카메라"/>
    <s v="모바일"/>
    <s v="서울"/>
    <n v="430342"/>
    <n v="19"/>
    <n v="280809"/>
    <d v="2022-04-28T00:00:00"/>
    <x v="19"/>
    <n v="211945.92"/>
  </r>
  <r>
    <s v="이영희"/>
    <s v="카메라"/>
    <s v="오디오"/>
    <s v="경기"/>
    <n v="559890"/>
    <n v="42"/>
    <n v="111030"/>
    <d v="2023-10-04T00:00:00"/>
    <x v="2"/>
    <n v="1222411"/>
  </r>
  <r>
    <s v="유재석"/>
    <s v="세탁기"/>
    <s v="전자제품"/>
    <s v="대구"/>
    <n v="320859"/>
    <n v="73"/>
    <n v="282962"/>
    <d v="2024-01-05T00:00:00"/>
    <x v="49"/>
    <n v="3025361.98"/>
  </r>
  <r>
    <s v="최준혁"/>
    <s v="세탁기"/>
    <s v="모바일"/>
    <s v="충청"/>
    <n v="1017166"/>
    <n v="7"/>
    <n v="482751"/>
    <d v="2024-06-10T00:00:00"/>
    <x v="42"/>
    <n v="2999627.25"/>
  </r>
  <r>
    <s v="최준혁"/>
    <s v="스마트폰"/>
    <s v="카메라"/>
    <s v="대구"/>
    <n v="4155592"/>
    <n v="83"/>
    <n v="58302"/>
    <d v="2022-07-01T00:00:00"/>
    <x v="10"/>
    <n v="4366400.78"/>
  </r>
  <r>
    <s v="강호동"/>
    <s v="스마트폰"/>
    <s v="모바일"/>
    <s v="대구"/>
    <n v="404000"/>
    <n v="74"/>
    <n v="188483"/>
    <d v="2023-11-07T00:00:00"/>
    <x v="25"/>
    <n v="1005601.48"/>
  </r>
  <r>
    <s v="한지민"/>
    <s v="냉장고"/>
    <s v="컴퓨터"/>
    <s v="울산"/>
    <n v="3700626"/>
    <n v="49"/>
    <n v="148450"/>
    <d v="2022-08-03T00:00:00"/>
    <x v="33"/>
    <n v="985456.29"/>
  </r>
  <r>
    <s v="이지은"/>
    <s v="태블릿"/>
    <s v="가전"/>
    <s v="경기"/>
    <n v="2114743"/>
    <n v="86"/>
    <n v="492727"/>
    <d v="2023-10-26T00:00:00"/>
    <x v="0"/>
    <n v="706734.6"/>
  </r>
  <r>
    <s v="최준혁"/>
    <s v="카메라"/>
    <s v="카메라"/>
    <s v="광주"/>
    <n v="1869975"/>
    <n v="36"/>
    <n v="462523"/>
    <d v="2024-10-07T00:00:00"/>
    <x v="39"/>
    <n v="268834.56"/>
  </r>
  <r>
    <s v="이지은"/>
    <s v="전자레인지"/>
    <s v="카메라"/>
    <s v="울산"/>
    <n v="2100727"/>
    <n v="69"/>
    <n v="254134"/>
    <d v="2022-07-12T00:00:00"/>
    <x v="40"/>
    <n v="412530.03"/>
  </r>
  <r>
    <s v="강호동"/>
    <s v="스마트워치"/>
    <s v="모바일"/>
    <s v="전라"/>
    <n v="3843048"/>
    <n v="11"/>
    <n v="133400"/>
    <d v="2022-12-14T00:00:00"/>
    <x v="4"/>
    <n v="157448.12"/>
  </r>
  <r>
    <s v="이영희"/>
    <s v="카메라"/>
    <s v="생활가전"/>
    <s v="대구"/>
    <n v="581968"/>
    <n v="34"/>
    <n v="484772"/>
    <d v="2024-08-20T00:00:00"/>
    <x v="19"/>
    <n v="994590.21"/>
  </r>
  <r>
    <s v="박민수"/>
    <s v="전자레인지"/>
    <s v="가전"/>
    <s v="전라"/>
    <n v="4337794"/>
    <n v="78"/>
    <n v="344584"/>
    <d v="2024-07-01T00:00:00"/>
    <x v="26"/>
    <n v="2675842.4700000002"/>
  </r>
  <r>
    <s v="한지민"/>
    <s v="세탁기"/>
    <s v="가전"/>
    <s v="부산"/>
    <n v="4396047"/>
    <n v="32"/>
    <n v="253445"/>
    <d v="2022-05-02T00:00:00"/>
    <x v="27"/>
    <n v="1370679.24"/>
  </r>
  <r>
    <s v="한지민"/>
    <s v="스마트폰"/>
    <s v="전자제품"/>
    <s v="강원"/>
    <n v="4411245"/>
    <n v="5"/>
    <n v="226806"/>
    <d v="2023-07-27T00:00:00"/>
    <x v="0"/>
    <n v="2444233.5499999998"/>
  </r>
  <r>
    <s v="정우성"/>
    <s v="TV"/>
    <s v="오디오"/>
    <s v="경상"/>
    <n v="1794977"/>
    <n v="24"/>
    <n v="313706"/>
    <d v="2022-11-20T00:00:00"/>
    <x v="21"/>
    <n v="2343036.08"/>
  </r>
  <r>
    <s v="정우성"/>
    <s v="스마트폰"/>
    <s v="오디오"/>
    <s v="부산"/>
    <n v="4829894"/>
    <n v="39"/>
    <n v="409049"/>
    <d v="2024-11-17T00:00:00"/>
    <x v="44"/>
    <n v="3815480.76"/>
  </r>
  <r>
    <s v="김철수"/>
    <s v="태블릿"/>
    <s v="오디오"/>
    <s v="대전"/>
    <n v="3839192"/>
    <n v="67"/>
    <n v="161264"/>
    <d v="2024-06-15T00:00:00"/>
    <x v="21"/>
    <n v="1558862.8"/>
  </r>
  <r>
    <s v="정우성"/>
    <s v="세탁기"/>
    <s v="컴퓨터"/>
    <s v="전라"/>
    <n v="4707171"/>
    <n v="3"/>
    <n v="239902"/>
    <d v="2024-09-06T00:00:00"/>
    <x v="44"/>
    <n v="3149544.06"/>
  </r>
  <r>
    <s v="최준혁"/>
    <s v="전자레인지"/>
    <s v="카메라"/>
    <s v="부산"/>
    <n v="3454885"/>
    <n v="95"/>
    <n v="235339"/>
    <d v="2022-09-27T00:00:00"/>
    <x v="16"/>
    <n v="1223030.3999999999"/>
  </r>
  <r>
    <s v="유재석"/>
    <s v="헤드폰"/>
    <s v="오디오"/>
    <s v="경기"/>
    <n v="4624233"/>
    <n v="3"/>
    <n v="408800"/>
    <d v="2023-05-07T00:00:00"/>
    <x v="9"/>
    <n v="1764291.07"/>
  </r>
  <r>
    <s v="박민수"/>
    <s v="헤드폰"/>
    <s v="카메라"/>
    <s v="대전"/>
    <n v="4454400"/>
    <n v="38"/>
    <n v="487418"/>
    <d v="2024-11-18T00:00:00"/>
    <x v="21"/>
    <n v="820391.44"/>
  </r>
  <r>
    <s v="최준혁"/>
    <s v="세탁기"/>
    <s v="오디오"/>
    <s v="광주"/>
    <n v="1810705"/>
    <n v="97"/>
    <n v="390103"/>
    <d v="2024-05-20T00:00:00"/>
    <x v="46"/>
    <n v="1328997.8500000001"/>
  </r>
  <r>
    <s v="강호동"/>
    <s v="헤드폰"/>
    <s v="모바일"/>
    <s v="광주"/>
    <n v="3154142"/>
    <n v="54"/>
    <n v="210350"/>
    <d v="2023-09-19T00:00:00"/>
    <x v="38"/>
    <n v="1081429.1100000001"/>
  </r>
  <r>
    <s v="정우성"/>
    <s v="전자레인지"/>
    <s v="생활가전"/>
    <s v="충청"/>
    <n v="2506799"/>
    <n v="37"/>
    <n v="471768"/>
    <d v="2022-01-01T00:00:00"/>
    <x v="3"/>
    <n v="2355413.64"/>
  </r>
  <r>
    <s v="유재석"/>
    <s v="태블릿"/>
    <s v="컴퓨터"/>
    <s v="인천"/>
    <n v="4566231"/>
    <n v="83"/>
    <n v="251414"/>
    <d v="2023-09-05T00:00:00"/>
    <x v="23"/>
    <n v="1707321"/>
  </r>
  <r>
    <s v="이영희"/>
    <s v="TV"/>
    <s v="오디오"/>
    <s v="울산"/>
    <n v="1131171"/>
    <n v="89"/>
    <n v="295566"/>
    <d v="2024-03-23T00:00:00"/>
    <x v="29"/>
    <n v="125974.17"/>
  </r>
  <r>
    <s v="이영희"/>
    <s v="냉장고"/>
    <s v="전자제품"/>
    <s v="전라"/>
    <n v="46030"/>
    <n v="41"/>
    <n v="369016"/>
    <d v="2023-07-06T00:00:00"/>
    <x v="30"/>
    <n v="1654447.68"/>
  </r>
  <r>
    <s v="한지민"/>
    <s v="카메라"/>
    <s v="컴퓨터"/>
    <s v="경기"/>
    <n v="1769440"/>
    <n v="73"/>
    <n v="247245"/>
    <d v="2024-11-17T00:00:00"/>
    <x v="28"/>
    <n v="2015502.3"/>
  </r>
  <r>
    <s v="유재석"/>
    <s v="태블릿"/>
    <s v="생활가전"/>
    <s v="울산"/>
    <n v="3093717"/>
    <n v="73"/>
    <n v="170823"/>
    <d v="2024-09-26T00:00:00"/>
    <x v="47"/>
    <n v="1981394.87"/>
  </r>
  <r>
    <s v="강호동"/>
    <s v="전자레인지"/>
    <s v="가전"/>
    <s v="강원"/>
    <n v="3122957"/>
    <n v="58"/>
    <n v="31569"/>
    <d v="2023-05-07T00:00:00"/>
    <x v="23"/>
    <n v="1007617.02"/>
  </r>
  <r>
    <s v="이영희"/>
    <s v="카메라"/>
    <s v="카메라"/>
    <s v="인천"/>
    <n v="952928"/>
    <n v="8"/>
    <n v="338761"/>
    <d v="2023-07-23T00:00:00"/>
    <x v="12"/>
    <n v="3262223.97"/>
  </r>
  <r>
    <s v="김철수"/>
    <s v="노트북"/>
    <s v="생활가전"/>
    <s v="경상"/>
    <n v="2188659"/>
    <n v="4"/>
    <n v="34340"/>
    <d v="2023-01-10T00:00:00"/>
    <x v="23"/>
    <n v="2387361.6"/>
  </r>
  <r>
    <s v="유재석"/>
    <s v="냉장고"/>
    <s v="생활가전"/>
    <s v="전라"/>
    <n v="149742"/>
    <n v="37"/>
    <n v="189398"/>
    <d v="2022-07-18T00:00:00"/>
    <x v="35"/>
    <n v="2326398.56"/>
  </r>
  <r>
    <s v="한지민"/>
    <s v="헤드폰"/>
    <s v="카메라"/>
    <s v="충청"/>
    <n v="2961861"/>
    <n v="46"/>
    <n v="99329"/>
    <d v="2024-06-04T00:00:00"/>
    <x v="48"/>
    <n v="2309505.48"/>
  </r>
  <r>
    <s v="송하나"/>
    <s v="태블릿"/>
    <s v="컴퓨터"/>
    <s v="울산"/>
    <n v="74031"/>
    <n v="34"/>
    <n v="98493"/>
    <d v="2023-02-28T00:00:00"/>
    <x v="23"/>
    <n v="1104210.3799999999"/>
  </r>
  <r>
    <s v="이영희"/>
    <s v="스마트워치"/>
    <s v="가전"/>
    <s v="경상"/>
    <n v="4740844"/>
    <n v="43"/>
    <n v="130886"/>
    <d v="2022-11-14T00:00:00"/>
    <x v="31"/>
    <n v="495469.22"/>
  </r>
  <r>
    <s v="박민수"/>
    <s v="전자레인지"/>
    <s v="오디오"/>
    <s v="서울"/>
    <n v="3551747"/>
    <n v="85"/>
    <n v="385070"/>
    <d v="2022-02-04T00:00:00"/>
    <x v="23"/>
    <n v="3836306.04"/>
  </r>
  <r>
    <s v="송하나"/>
    <s v="태블릿"/>
    <s v="전자제품"/>
    <s v="인천"/>
    <n v="3191882"/>
    <n v="37"/>
    <n v="236959"/>
    <d v="2023-08-08T00:00:00"/>
    <x v="30"/>
    <n v="1954804.83"/>
  </r>
  <r>
    <s v="한지민"/>
    <s v="헤드폰"/>
    <s v="카메라"/>
    <s v="제주"/>
    <n v="1937960"/>
    <n v="90"/>
    <n v="192141"/>
    <d v="2022-09-22T00:00:00"/>
    <x v="22"/>
    <n v="665845.09"/>
  </r>
  <r>
    <s v="김철수"/>
    <s v="헤드폰"/>
    <s v="카메라"/>
    <s v="제주"/>
    <n v="4489556"/>
    <n v="1"/>
    <n v="420364"/>
    <d v="2024-05-05T00:00:00"/>
    <x v="13"/>
    <n v="1062097.6200000001"/>
  </r>
  <r>
    <s v="송하나"/>
    <s v="세탁기"/>
    <s v="컴퓨터"/>
    <s v="인천"/>
    <n v="1335481"/>
    <n v="99"/>
    <n v="317578"/>
    <d v="2022-05-09T00:00:00"/>
    <x v="0"/>
    <n v="3632753.75"/>
  </r>
  <r>
    <s v="김철수"/>
    <s v="전자레인지"/>
    <s v="가전"/>
    <s v="강원"/>
    <n v="4422279"/>
    <n v="97"/>
    <n v="9578"/>
    <d v="2023-10-02T00:00:00"/>
    <x v="19"/>
    <n v="4372847.3"/>
  </r>
  <r>
    <s v="강호동"/>
    <s v="TV"/>
    <s v="컴퓨터"/>
    <s v="경기"/>
    <n v="4150656"/>
    <n v="37"/>
    <n v="7897"/>
    <d v="2024-08-02T00:00:00"/>
    <x v="19"/>
    <n v="3703030.02"/>
  </r>
  <r>
    <s v="김철수"/>
    <s v="헤드폰"/>
    <s v="생활가전"/>
    <s v="울산"/>
    <n v="4056531"/>
    <n v="52"/>
    <n v="329920"/>
    <d v="2024-05-18T00:00:00"/>
    <x v="22"/>
    <n v="1898782.38"/>
  </r>
  <r>
    <s v="이영희"/>
    <s v="냉장고"/>
    <s v="모바일"/>
    <s v="경기"/>
    <n v="2832812"/>
    <n v="68"/>
    <n v="456684"/>
    <d v="2022-08-20T00:00:00"/>
    <x v="18"/>
    <n v="958562.99"/>
  </r>
  <r>
    <s v="정우성"/>
    <s v="카메라"/>
    <s v="생활가전"/>
    <s v="울산"/>
    <n v="3270804"/>
    <n v="8"/>
    <n v="229578"/>
    <d v="2024-01-12T00:00:00"/>
    <x v="33"/>
    <n v="368075.5"/>
  </r>
  <r>
    <s v="유재석"/>
    <s v="냉장고"/>
    <s v="가전"/>
    <s v="대전"/>
    <n v="3345329"/>
    <n v="34"/>
    <n v="495896"/>
    <d v="2024-08-17T00:00:00"/>
    <x v="38"/>
    <n v="79703.91"/>
  </r>
  <r>
    <s v="최준혁"/>
    <s v="전자레인지"/>
    <s v="모바일"/>
    <s v="경상"/>
    <n v="2930047"/>
    <n v="21"/>
    <n v="154467"/>
    <d v="2022-02-18T00:00:00"/>
    <x v="2"/>
    <n v="1265879.52"/>
  </r>
  <r>
    <s v="정우성"/>
    <s v="노트북"/>
    <s v="카메라"/>
    <s v="강원"/>
    <n v="2164416"/>
    <n v="76"/>
    <n v="176912"/>
    <d v="2024-04-16T00:00:00"/>
    <x v="39"/>
    <n v="3671737.65"/>
  </r>
  <r>
    <s v="최준혁"/>
    <s v="헤드폰"/>
    <s v="전자제품"/>
    <s v="경기"/>
    <n v="1172722"/>
    <n v="9"/>
    <n v="266206"/>
    <d v="2023-04-18T00:00:00"/>
    <x v="10"/>
    <n v="684388.5"/>
  </r>
  <r>
    <s v="박민수"/>
    <s v="태블릿"/>
    <s v="카메라"/>
    <s v="전라"/>
    <n v="2433039"/>
    <n v="68"/>
    <n v="128021"/>
    <d v="2022-06-19T00:00:00"/>
    <x v="39"/>
    <n v="1756654.06"/>
  </r>
  <r>
    <s v="최준혁"/>
    <s v="스마트폰"/>
    <s v="모바일"/>
    <s v="인천"/>
    <n v="4309677"/>
    <n v="19"/>
    <n v="259987"/>
    <d v="2022-12-13T00:00:00"/>
    <x v="47"/>
    <n v="66304.56"/>
  </r>
  <r>
    <s v="강호동"/>
    <s v="세탁기"/>
    <s v="생활가전"/>
    <s v="울산"/>
    <n v="4822249"/>
    <n v="23"/>
    <n v="292742"/>
    <d v="2022-04-21T00:00:00"/>
    <x v="4"/>
    <n v="25802.06"/>
  </r>
  <r>
    <s v="이영희"/>
    <s v="노트북"/>
    <s v="전자제품"/>
    <s v="대구"/>
    <n v="4542331"/>
    <n v="85"/>
    <n v="35665"/>
    <d v="2024-10-03T00:00:00"/>
    <x v="21"/>
    <n v="2015338.65"/>
  </r>
  <r>
    <s v="최준혁"/>
    <s v="세탁기"/>
    <s v="컴퓨터"/>
    <s v="경상"/>
    <n v="2426809"/>
    <n v="35"/>
    <n v="228394"/>
    <d v="2023-09-02T00:00:00"/>
    <x v="11"/>
    <n v="3540575.5"/>
  </r>
  <r>
    <s v="이지은"/>
    <s v="스마트워치"/>
    <s v="모바일"/>
    <s v="인천"/>
    <n v="964105"/>
    <n v="97"/>
    <n v="38407"/>
    <d v="2023-07-12T00:00:00"/>
    <x v="6"/>
    <n v="2209670.1"/>
  </r>
  <r>
    <s v="최준혁"/>
    <s v="냉장고"/>
    <s v="오디오"/>
    <s v="광주"/>
    <n v="3218341"/>
    <n v="98"/>
    <n v="375742"/>
    <d v="2022-03-15T00:00:00"/>
    <x v="6"/>
    <n v="3143082.16"/>
  </r>
  <r>
    <s v="이지은"/>
    <s v="카메라"/>
    <s v="컴퓨터"/>
    <s v="전라"/>
    <n v="1670274"/>
    <n v="57"/>
    <n v="407541"/>
    <d v="2024-04-15T00:00:00"/>
    <x v="45"/>
    <n v="3542650.34"/>
  </r>
  <r>
    <s v="송하나"/>
    <s v="노트북"/>
    <s v="전자제품"/>
    <s v="서울"/>
    <n v="3738451"/>
    <n v="71"/>
    <n v="390183"/>
    <d v="2024-02-26T00:00:00"/>
    <x v="8"/>
    <n v="2469948.4700000002"/>
  </r>
  <r>
    <s v="이영희"/>
    <s v="노트북"/>
    <s v="컴퓨터"/>
    <s v="대전"/>
    <n v="2925782"/>
    <n v="90"/>
    <n v="26905"/>
    <d v="2024-04-25T00:00:00"/>
    <x v="20"/>
    <n v="304624.26"/>
  </r>
  <r>
    <s v="박민수"/>
    <s v="태블릿"/>
    <s v="전자제품"/>
    <s v="대전"/>
    <n v="1245391"/>
    <n v="67"/>
    <n v="167495"/>
    <d v="2024-02-01T00:00:00"/>
    <x v="50"/>
    <n v="2100036.84"/>
  </r>
  <r>
    <s v="김철수"/>
    <s v="TV"/>
    <s v="컴퓨터"/>
    <s v="대구"/>
    <n v="4200850"/>
    <n v="90"/>
    <n v="386328"/>
    <d v="2022-10-19T00:00:00"/>
    <x v="50"/>
    <n v="3139960.56"/>
  </r>
  <r>
    <s v="유재석"/>
    <s v="TV"/>
    <s v="가전"/>
    <s v="광주"/>
    <n v="2125392"/>
    <n v="5"/>
    <n v="91219"/>
    <d v="2022-06-17T00:00:00"/>
    <x v="22"/>
    <n v="1569330"/>
  </r>
  <r>
    <s v="강호동"/>
    <s v="헤드폰"/>
    <s v="전자제품"/>
    <s v="전라"/>
    <n v="3828828"/>
    <n v="24"/>
    <n v="433534"/>
    <d v="2023-07-26T00:00:00"/>
    <x v="27"/>
    <n v="1152518"/>
  </r>
  <r>
    <s v="송하나"/>
    <s v="태블릿"/>
    <s v="카메라"/>
    <s v="제주"/>
    <n v="4446749"/>
    <n v="53"/>
    <n v="420392"/>
    <d v="2023-12-03T00:00:00"/>
    <x v="15"/>
    <n v="1084605.72"/>
  </r>
  <r>
    <s v="이영희"/>
    <s v="스마트폰"/>
    <s v="모바일"/>
    <s v="인천"/>
    <n v="1546620"/>
    <n v="92"/>
    <n v="154973"/>
    <d v="2023-08-12T00:00:00"/>
    <x v="44"/>
    <n v="2620883.4300000002"/>
  </r>
  <r>
    <s v="박민수"/>
    <s v="노트북"/>
    <s v="모바일"/>
    <s v="서울"/>
    <n v="2685830"/>
    <n v="75"/>
    <n v="238703"/>
    <d v="2023-12-02T00:00:00"/>
    <x v="6"/>
    <n v="1978256.43"/>
  </r>
  <r>
    <s v="송하나"/>
    <s v="노트북"/>
    <s v="카메라"/>
    <s v="광주"/>
    <n v="1738479"/>
    <n v="19"/>
    <n v="357308"/>
    <d v="2024-09-09T00:00:00"/>
    <x v="45"/>
    <n v="1615731"/>
  </r>
  <r>
    <s v="이지은"/>
    <s v="카메라"/>
    <s v="생활가전"/>
    <s v="울산"/>
    <n v="718608"/>
    <n v="60"/>
    <n v="84604"/>
    <d v="2023-03-21T00:00:00"/>
    <x v="21"/>
    <n v="285163.59000000003"/>
  </r>
  <r>
    <s v="최준혁"/>
    <s v="TV"/>
    <s v="카메라"/>
    <s v="울산"/>
    <n v="1000655"/>
    <n v="96"/>
    <n v="208262"/>
    <d v="2023-09-04T00:00:00"/>
    <x v="22"/>
    <n v="2150331.75"/>
  </r>
  <r>
    <s v="이지은"/>
    <s v="스마트워치"/>
    <s v="오디오"/>
    <s v="인천"/>
    <n v="4389187"/>
    <n v="30"/>
    <n v="95692"/>
    <d v="2022-10-28T00:00:00"/>
    <x v="18"/>
    <n v="1115228.3999999999"/>
  </r>
  <r>
    <s v="정우성"/>
    <s v="헤드폰"/>
    <s v="가전"/>
    <s v="강원"/>
    <n v="2894963"/>
    <n v="6"/>
    <n v="451690"/>
    <d v="2022-10-19T00:00:00"/>
    <x v="40"/>
    <n v="926567.49"/>
  </r>
  <r>
    <s v="송하나"/>
    <s v="헤드폰"/>
    <s v="생활가전"/>
    <s v="경기"/>
    <n v="1809792"/>
    <n v="97"/>
    <n v="286982"/>
    <d v="2023-12-09T00:00:00"/>
    <x v="34"/>
    <n v="1296754.51"/>
  </r>
  <r>
    <s v="김철수"/>
    <s v="노트북"/>
    <s v="모바일"/>
    <s v="대구"/>
    <n v="55936"/>
    <n v="80"/>
    <n v="430811"/>
    <d v="2024-09-11T00:00:00"/>
    <x v="37"/>
    <n v="2798292.45"/>
  </r>
  <r>
    <s v="유재석"/>
    <s v="전자레인지"/>
    <s v="컴퓨터"/>
    <s v="경상"/>
    <n v="1312052"/>
    <n v="12"/>
    <n v="130508"/>
    <d v="2022-02-05T00:00:00"/>
    <x v="41"/>
    <n v="78402.55"/>
  </r>
  <r>
    <s v="한지민"/>
    <s v="스마트워치"/>
    <s v="가전"/>
    <s v="강원"/>
    <n v="945854"/>
    <n v="30"/>
    <n v="113549"/>
    <d v="2024-03-03T00:00:00"/>
    <x v="20"/>
    <n v="1414740.6"/>
  </r>
  <r>
    <s v="박민수"/>
    <s v="냉장고"/>
    <s v="생활가전"/>
    <s v="충청"/>
    <n v="3729752"/>
    <n v="65"/>
    <n v="257746"/>
    <d v="2023-06-13T00:00:00"/>
    <x v="46"/>
    <n v="933321.39"/>
  </r>
  <r>
    <s v="송하나"/>
    <s v="세탁기"/>
    <s v="가전"/>
    <s v="대구"/>
    <n v="4014413"/>
    <n v="4"/>
    <n v="338162"/>
    <d v="2023-07-15T00:00:00"/>
    <x v="49"/>
    <n v="2334372.54"/>
  </r>
  <r>
    <s v="김철수"/>
    <s v="노트북"/>
    <s v="컴퓨터"/>
    <s v="대전"/>
    <n v="2939411"/>
    <n v="94"/>
    <n v="90005"/>
    <d v="2022-04-16T00:00:00"/>
    <x v="31"/>
    <n v="1749383.91"/>
  </r>
  <r>
    <s v="유재석"/>
    <s v="전자레인지"/>
    <s v="전자제품"/>
    <s v="경기"/>
    <n v="3661161"/>
    <n v="91"/>
    <n v="239632"/>
    <d v="2022-06-02T00:00:00"/>
    <x v="32"/>
    <n v="1079133.93"/>
  </r>
  <r>
    <s v="유재석"/>
    <s v="세탁기"/>
    <s v="가전"/>
    <s v="인천"/>
    <n v="1031654"/>
    <n v="83"/>
    <n v="464968"/>
    <d v="2024-05-21T00:00:00"/>
    <x v="33"/>
    <n v="3454983"/>
  </r>
  <r>
    <s v="김철수"/>
    <s v="카메라"/>
    <s v="카메라"/>
    <s v="대구"/>
    <n v="2106977"/>
    <n v="32"/>
    <n v="292555"/>
    <d v="2022-07-16T00:00:00"/>
    <x v="11"/>
    <n v="2884876.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8D70EB-3AD6-47E7-AE61-D29AF4DE9C50}" name="피벗 테이블1"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K14:M31"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B1355-2908-4157-8C41-3AC5420AC8FE}" name="피벗 테이블1"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chartFormat="8">
  <location ref="M5:U10" firstHeaderRow="1" firstDataRow="2" firstDataCol="1"/>
  <pivotFields count="13">
    <pivotField showAll="0"/>
    <pivotField showAll="0"/>
    <pivotField axis="axisCol" showAll="0">
      <items count="8">
        <item x="0"/>
        <item x="5"/>
        <item x="3"/>
        <item x="1"/>
        <item x="4"/>
        <item x="6"/>
        <item x="2"/>
        <item t="default"/>
      </items>
    </pivotField>
    <pivotField showAll="0"/>
    <pivotField showAll="0"/>
    <pivotField showAll="0"/>
    <pivotField showAll="0"/>
    <pivotField axis="axisRow" numFmtId="14" showAll="0">
      <items count="394">
        <item x="360"/>
        <item x="291"/>
        <item x="48"/>
        <item x="275"/>
        <item x="1"/>
        <item x="341"/>
        <item x="105"/>
        <item x="5"/>
        <item x="7"/>
        <item x="316"/>
        <item x="180"/>
        <item x="61"/>
        <item x="310"/>
        <item x="248"/>
        <item x="262"/>
        <item x="364"/>
        <item x="66"/>
        <item x="371"/>
        <item x="33"/>
        <item x="168"/>
        <item x="329"/>
        <item x="67"/>
        <item x="4"/>
        <item x="209"/>
        <item x="257"/>
        <item x="282"/>
        <item x="135"/>
        <item x="244"/>
        <item x="86"/>
        <item x="229"/>
        <item x="81"/>
        <item x="15"/>
        <item x="313"/>
        <item x="6"/>
        <item x="390"/>
        <item x="322"/>
        <item x="269"/>
        <item x="95"/>
        <item x="238"/>
        <item x="354"/>
        <item x="0"/>
        <item x="312"/>
        <item x="366"/>
        <item x="307"/>
        <item x="276"/>
        <item x="142"/>
        <item x="227"/>
        <item x="221"/>
        <item x="391"/>
        <item x="123"/>
        <item x="121"/>
        <item x="211"/>
        <item x="335"/>
        <item x="326"/>
        <item x="381"/>
        <item x="374"/>
        <item x="156"/>
        <item x="193"/>
        <item x="215"/>
        <item x="293"/>
        <item x="347"/>
        <item x="20"/>
        <item x="278"/>
        <item x="351"/>
        <item x="169"/>
        <item x="134"/>
        <item x="363"/>
        <item x="165"/>
        <item x="225"/>
        <item x="41"/>
        <item x="40"/>
        <item x="18"/>
        <item x="267"/>
        <item x="71"/>
        <item x="286"/>
        <item x="72"/>
        <item x="43"/>
        <item x="159"/>
        <item x="296"/>
        <item x="224"/>
        <item x="12"/>
        <item x="161"/>
        <item x="306"/>
        <item x="241"/>
        <item x="108"/>
        <item x="88"/>
        <item x="127"/>
        <item x="288"/>
        <item x="303"/>
        <item x="36"/>
        <item x="157"/>
        <item x="167"/>
        <item x="263"/>
        <item x="342"/>
        <item x="365"/>
        <item x="113"/>
        <item x="297"/>
        <item x="358"/>
        <item x="92"/>
        <item x="94"/>
        <item x="140"/>
        <item x="281"/>
        <item x="11"/>
        <item x="300"/>
        <item x="237"/>
        <item x="380"/>
        <item x="343"/>
        <item x="210"/>
        <item x="320"/>
        <item x="132"/>
        <item x="136"/>
        <item x="233"/>
        <item x="179"/>
        <item x="261"/>
        <item x="234"/>
        <item x="114"/>
        <item x="112"/>
        <item x="62"/>
        <item x="299"/>
        <item x="42"/>
        <item x="23"/>
        <item x="292"/>
        <item x="223"/>
        <item x="49"/>
        <item x="80"/>
        <item x="107"/>
        <item x="271"/>
        <item x="198"/>
        <item x="295"/>
        <item x="87"/>
        <item x="139"/>
        <item x="264"/>
        <item x="153"/>
        <item x="253"/>
        <item x="65"/>
        <item x="158"/>
        <item x="176"/>
        <item x="337"/>
        <item x="201"/>
        <item x="186"/>
        <item x="208"/>
        <item x="339"/>
        <item x="2"/>
        <item x="75"/>
        <item x="10"/>
        <item x="283"/>
        <item x="308"/>
        <item x="100"/>
        <item x="309"/>
        <item x="60"/>
        <item x="174"/>
        <item x="304"/>
        <item x="260"/>
        <item x="194"/>
        <item x="336"/>
        <item x="8"/>
        <item x="70"/>
        <item x="110"/>
        <item x="130"/>
        <item x="385"/>
        <item x="46"/>
        <item x="321"/>
        <item x="29"/>
        <item x="55"/>
        <item x="332"/>
        <item x="214"/>
        <item x="212"/>
        <item x="256"/>
        <item x="189"/>
        <item x="249"/>
        <item x="109"/>
        <item x="35"/>
        <item x="44"/>
        <item x="373"/>
        <item x="53"/>
        <item x="246"/>
        <item x="133"/>
        <item x="252"/>
        <item x="64"/>
        <item x="324"/>
        <item x="74"/>
        <item x="47"/>
        <item x="102"/>
        <item x="68"/>
        <item x="154"/>
        <item x="192"/>
        <item x="126"/>
        <item x="287"/>
        <item x="28"/>
        <item x="230"/>
        <item x="311"/>
        <item x="52"/>
        <item x="69"/>
        <item x="202"/>
        <item x="388"/>
        <item x="255"/>
        <item x="14"/>
        <item x="298"/>
        <item x="148"/>
        <item x="183"/>
        <item x="376"/>
        <item x="389"/>
        <item x="218"/>
        <item x="63"/>
        <item x="362"/>
        <item x="106"/>
        <item x="98"/>
        <item x="85"/>
        <item x="355"/>
        <item x="273"/>
        <item x="96"/>
        <item x="204"/>
        <item x="315"/>
        <item x="272"/>
        <item x="199"/>
        <item x="280"/>
        <item x="30"/>
        <item x="382"/>
        <item x="122"/>
        <item x="118"/>
        <item x="228"/>
        <item x="115"/>
        <item x="144"/>
        <item x="84"/>
        <item x="386"/>
        <item x="294"/>
        <item x="175"/>
        <item x="24"/>
        <item x="206"/>
        <item x="250"/>
        <item x="99"/>
        <item x="9"/>
        <item x="197"/>
        <item x="328"/>
        <item x="367"/>
        <item x="344"/>
        <item x="245"/>
        <item x="247"/>
        <item x="265"/>
        <item x="173"/>
        <item x="349"/>
        <item x="149"/>
        <item x="348"/>
        <item x="284"/>
        <item x="146"/>
        <item x="185"/>
        <item x="129"/>
        <item x="205"/>
        <item x="274"/>
        <item x="383"/>
        <item x="83"/>
        <item x="19"/>
        <item x="37"/>
        <item x="145"/>
        <item x="216"/>
        <item x="116"/>
        <item x="160"/>
        <item x="289"/>
        <item x="89"/>
        <item x="90"/>
        <item x="16"/>
        <item x="104"/>
        <item x="26"/>
        <item x="330"/>
        <item x="54"/>
        <item x="323"/>
        <item x="22"/>
        <item x="345"/>
        <item x="170"/>
        <item x="370"/>
        <item x="191"/>
        <item x="73"/>
        <item x="279"/>
        <item x="379"/>
        <item x="187"/>
        <item x="259"/>
        <item x="21"/>
        <item x="213"/>
        <item x="184"/>
        <item x="327"/>
        <item x="151"/>
        <item x="137"/>
        <item x="377"/>
        <item x="242"/>
        <item x="207"/>
        <item x="103"/>
        <item x="231"/>
        <item x="31"/>
        <item x="166"/>
        <item x="163"/>
        <item x="58"/>
        <item x="182"/>
        <item x="188"/>
        <item x="226"/>
        <item x="361"/>
        <item x="190"/>
        <item x="219"/>
        <item x="196"/>
        <item x="340"/>
        <item x="111"/>
        <item x="172"/>
        <item x="372"/>
        <item x="125"/>
        <item x="220"/>
        <item x="378"/>
        <item x="331"/>
        <item x="138"/>
        <item x="50"/>
        <item x="239"/>
        <item x="131"/>
        <item x="334"/>
        <item x="177"/>
        <item x="268"/>
        <item x="119"/>
        <item x="369"/>
        <item x="359"/>
        <item x="392"/>
        <item x="97"/>
        <item x="56"/>
        <item x="338"/>
        <item x="120"/>
        <item x="27"/>
        <item x="285"/>
        <item x="32"/>
        <item x="346"/>
        <item x="78"/>
        <item x="235"/>
        <item x="181"/>
        <item x="82"/>
        <item x="128"/>
        <item x="93"/>
        <item x="251"/>
        <item x="353"/>
        <item x="117"/>
        <item x="318"/>
        <item x="150"/>
        <item x="101"/>
        <item x="195"/>
        <item x="79"/>
        <item x="124"/>
        <item x="232"/>
        <item x="317"/>
        <item x="368"/>
        <item x="178"/>
        <item x="277"/>
        <item x="319"/>
        <item x="240"/>
        <item x="236"/>
        <item x="76"/>
        <item x="352"/>
        <item x="200"/>
        <item x="34"/>
        <item x="3"/>
        <item x="305"/>
        <item x="57"/>
        <item x="357"/>
        <item x="384"/>
        <item x="387"/>
        <item x="155"/>
        <item x="147"/>
        <item x="143"/>
        <item x="164"/>
        <item x="243"/>
        <item x="162"/>
        <item x="375"/>
        <item x="325"/>
        <item x="290"/>
        <item x="350"/>
        <item x="77"/>
        <item x="301"/>
        <item x="222"/>
        <item x="333"/>
        <item x="270"/>
        <item x="17"/>
        <item x="38"/>
        <item x="152"/>
        <item x="51"/>
        <item x="258"/>
        <item x="356"/>
        <item x="203"/>
        <item x="45"/>
        <item x="314"/>
        <item x="217"/>
        <item x="141"/>
        <item x="266"/>
        <item x="302"/>
        <item x="59"/>
        <item x="39"/>
        <item x="171"/>
        <item x="13"/>
        <item x="25"/>
        <item x="254"/>
        <item x="91"/>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2"/>
    <field x="11"/>
    <field x="10"/>
    <field x="7"/>
  </rowFields>
  <rowItems count="4">
    <i>
      <x v="1"/>
    </i>
    <i>
      <x v="2"/>
    </i>
    <i>
      <x v="3"/>
    </i>
    <i t="grand">
      <x/>
    </i>
  </rowItems>
  <colFields count="1">
    <field x="2"/>
  </colFields>
  <colItems count="8">
    <i>
      <x/>
    </i>
    <i>
      <x v="1"/>
    </i>
    <i>
      <x v="2"/>
    </i>
    <i>
      <x v="3"/>
    </i>
    <i>
      <x v="4"/>
    </i>
    <i>
      <x v="5"/>
    </i>
    <i>
      <x v="6"/>
    </i>
    <i t="grand">
      <x/>
    </i>
  </colItems>
  <dataFields count="1">
    <dataField name="합계 : 총 매출" fld="9" baseField="0" baseItem="0" numFmtId="3"/>
  </dataFields>
  <formats count="22">
    <format dxfId="35">
      <pivotArea outline="0" collapsedLevelsAreSubtotals="1"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2" type="button" dataOnly="0" labelOnly="1" outline="0" axis="axisCol" fieldPosition="0"/>
    </format>
    <format dxfId="30">
      <pivotArea type="topRight" dataOnly="0" labelOnly="1" outline="0" fieldPosition="0"/>
    </format>
    <format dxfId="29">
      <pivotArea field="12" type="button" dataOnly="0" labelOnly="1" outline="0" axis="axisRow" fieldPosition="0"/>
    </format>
    <format dxfId="28">
      <pivotArea dataOnly="0" labelOnly="1" fieldPosition="0">
        <references count="1">
          <reference field="12" count="3">
            <x v="1"/>
            <x v="2"/>
            <x v="3"/>
          </reference>
        </references>
      </pivotArea>
    </format>
    <format dxfId="27">
      <pivotArea dataOnly="0" labelOnly="1" grandRow="1" outline="0" fieldPosition="0"/>
    </format>
    <format dxfId="26">
      <pivotArea dataOnly="0" labelOnly="1" fieldPosition="0">
        <references count="1">
          <reference field="2" count="0"/>
        </references>
      </pivotArea>
    </format>
    <format dxfId="25">
      <pivotArea dataOnly="0" labelOnly="1" grandCol="1" outline="0"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2" type="button" dataOnly="0" labelOnly="1" outline="0" axis="axisCol" fieldPosition="0"/>
    </format>
    <format dxfId="20">
      <pivotArea type="topRight" dataOnly="0" labelOnly="1" outline="0" fieldPosition="0"/>
    </format>
    <format dxfId="19">
      <pivotArea field="12" type="button" dataOnly="0" labelOnly="1" outline="0" axis="axisRow" fieldPosition="0"/>
    </format>
    <format dxfId="18">
      <pivotArea dataOnly="0" labelOnly="1" fieldPosition="0">
        <references count="1">
          <reference field="12" count="3">
            <x v="1"/>
            <x v="2"/>
            <x v="3"/>
          </reference>
        </references>
      </pivotArea>
    </format>
    <format dxfId="17">
      <pivotArea dataOnly="0" labelOnly="1" grandRow="1" outline="0" fieldPosition="0"/>
    </format>
    <format dxfId="16">
      <pivotArea dataOnly="0" labelOnly="1" fieldPosition="0">
        <references count="1">
          <reference field="2" count="0"/>
        </references>
      </pivotArea>
    </format>
    <format dxfId="15">
      <pivotArea dataOnly="0" labelOnly="1" grandCol="1" outline="0" fieldPosition="0"/>
    </format>
    <format dxfId="14">
      <pivotArea outline="0" collapsedLevelsAreSubtotals="1" fieldPosition="0"/>
    </format>
  </formats>
  <chartFormats count="7">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5EC3A5-6320-4EA1-BD29-6455D34B0E9F}" name="피벗 테이블2" cacheId="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H5:I18" firstHeaderRow="1" firstDataRow="1" firstDataCol="1"/>
  <pivotFields count="7">
    <pivotField showAll="0"/>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numFmtId="177"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1"/>
  </rowFields>
  <rowItems count="13">
    <i>
      <x v="1"/>
    </i>
    <i>
      <x v="2"/>
    </i>
    <i>
      <x v="3"/>
    </i>
    <i>
      <x v="4"/>
    </i>
    <i>
      <x v="5"/>
    </i>
    <i>
      <x v="6"/>
    </i>
    <i>
      <x v="7"/>
    </i>
    <i>
      <x v="8"/>
    </i>
    <i>
      <x v="9"/>
    </i>
    <i>
      <x v="10"/>
    </i>
    <i>
      <x v="11"/>
    </i>
    <i>
      <x v="12"/>
    </i>
    <i t="grand">
      <x/>
    </i>
  </rowItems>
  <colItems count="1">
    <i/>
  </colItems>
  <dataFields count="1">
    <dataField name="합계 : 금액 (₩)" fld="4" baseField="0" baseItem="0" numFmtId="177"/>
  </dataFields>
  <formats count="12">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12">
            <x v="1"/>
            <x v="2"/>
            <x v="3"/>
            <x v="4"/>
            <x v="5"/>
            <x v="6"/>
            <x v="7"/>
            <x v="8"/>
            <x v="9"/>
            <x v="10"/>
            <x v="11"/>
            <x v="12"/>
          </reference>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12">
            <x v="1"/>
            <x v="2"/>
            <x v="3"/>
            <x v="4"/>
            <x v="5"/>
            <x v="6"/>
            <x v="7"/>
            <x v="8"/>
            <x v="9"/>
            <x v="10"/>
            <x v="11"/>
            <x v="12"/>
          </reference>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F1A29-8EAE-4225-AA5D-FA1F49539049}" name="피벗 테이블5" cacheId="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chartFormat="6">
  <location ref="L6:N17" firstHeaderRow="0" firstDataRow="1" firstDataCol="1"/>
  <pivotFields count="10">
    <pivotField showAll="0"/>
    <pivotField showAll="0"/>
    <pivotField showAll="0"/>
    <pivotField showAll="0"/>
    <pivotField showAll="0"/>
    <pivotField dataField="1" showAll="0"/>
    <pivotField showAll="0"/>
    <pivotField numFmtId="14" showAll="0"/>
    <pivotField axis="axisRow" showAll="0">
      <items count="13">
        <item x="0"/>
        <item x="1"/>
        <item x="2"/>
        <item x="3"/>
        <item x="4"/>
        <item x="5"/>
        <item x="6"/>
        <item x="7"/>
        <item x="8"/>
        <item x="9"/>
        <item x="10"/>
        <item x="11"/>
        <item t="default"/>
      </items>
    </pivotField>
    <pivotField dataField="1" showAll="0"/>
  </pivotFields>
  <rowFields count="1">
    <field x="8"/>
  </rowFields>
  <rowItems count="11">
    <i>
      <x v="1"/>
    </i>
    <i>
      <x v="2"/>
    </i>
    <i>
      <x v="3"/>
    </i>
    <i>
      <x v="4"/>
    </i>
    <i>
      <x v="5"/>
    </i>
    <i>
      <x v="6"/>
    </i>
    <i>
      <x v="7"/>
    </i>
    <i>
      <x v="8"/>
    </i>
    <i>
      <x v="9"/>
    </i>
    <i>
      <x v="10"/>
    </i>
    <i t="grand">
      <x/>
    </i>
  </rowItems>
  <colFields count="1">
    <field x="-2"/>
  </colFields>
  <colItems count="2">
    <i>
      <x/>
    </i>
    <i i="1">
      <x v="1"/>
    </i>
  </colItems>
  <dataFields count="2">
    <dataField name="합계 : 총 매출" fld="9" baseField="0" baseItem="0"/>
    <dataField name="합계 : 판매 수량"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DE07C3-5212-4497-828B-D2EF5DA9D538}">
  <we:reference id="wa200005502" version="1.0.0.11" store="ko-KR" storeType="OMEX"/>
  <we:alternateReferences>
    <we:reference id="wa200005502" version="1.0.0.11" store="" storeType="OMEX"/>
  </we:alternateReferences>
  <we:properties>
    <we:property name="docId" value="&quot;kHcPrX-uuAh76kFM4g6ji&quot;"/>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5C7EA-500B-42ED-85DB-6FFAA11DF324}">
  <sheetPr codeName="Sheet19"/>
  <dimension ref="B2:B19"/>
  <sheetViews>
    <sheetView showGridLines="0" workbookViewId="0">
      <selection activeCell="B16" sqref="B16"/>
    </sheetView>
  </sheetViews>
  <sheetFormatPr baseColWidth="10" defaultColWidth="8.83203125" defaultRowHeight="17"/>
  <cols>
    <col min="2" max="2" width="43.83203125" style="34" bestFit="1" customWidth="1"/>
  </cols>
  <sheetData>
    <row r="2" spans="2:2" ht="20">
      <c r="B2" s="133" t="s">
        <v>4</v>
      </c>
    </row>
    <row r="3" spans="2:2">
      <c r="B3" s="134" t="s">
        <v>1189</v>
      </c>
    </row>
    <row r="4" spans="2:2">
      <c r="B4" s="134" t="s">
        <v>1190</v>
      </c>
    </row>
    <row r="5" spans="2:2">
      <c r="B5" s="134" t="s">
        <v>1188</v>
      </c>
    </row>
    <row r="6" spans="2:2">
      <c r="B6" s="134" t="s">
        <v>1191</v>
      </c>
    </row>
    <row r="7" spans="2:2">
      <c r="B7" s="134" t="s">
        <v>1192</v>
      </c>
    </row>
    <row r="8" spans="2:2">
      <c r="B8" s="134" t="s">
        <v>1193</v>
      </c>
    </row>
    <row r="9" spans="2:2">
      <c r="B9" s="134" t="s">
        <v>1194</v>
      </c>
    </row>
    <row r="10" spans="2:2">
      <c r="B10" s="134" t="s">
        <v>1195</v>
      </c>
    </row>
    <row r="11" spans="2:2">
      <c r="B11" s="134" t="s">
        <v>1196</v>
      </c>
    </row>
    <row r="12" spans="2:2">
      <c r="B12" s="134" t="s">
        <v>1197</v>
      </c>
    </row>
    <row r="13" spans="2:2">
      <c r="B13" s="134" t="s">
        <v>1198</v>
      </c>
    </row>
    <row r="14" spans="2:2">
      <c r="B14" s="134" t="s">
        <v>1199</v>
      </c>
    </row>
    <row r="15" spans="2:2">
      <c r="B15" s="134" t="s">
        <v>1200</v>
      </c>
    </row>
    <row r="16" spans="2:2">
      <c r="B16" s="134" t="s">
        <v>1201</v>
      </c>
    </row>
    <row r="17" spans="2:2">
      <c r="B17" s="134" t="s">
        <v>1202</v>
      </c>
    </row>
    <row r="18" spans="2:2">
      <c r="B18" s="134" t="s">
        <v>1203</v>
      </c>
    </row>
    <row r="19" spans="2:2">
      <c r="B19" s="134" t="s">
        <v>1204</v>
      </c>
    </row>
  </sheetData>
  <phoneticPr fontId="3" type="noConversion"/>
  <hyperlinks>
    <hyperlink ref="B3" location="'M1. 엑셀 활용시 LLM의 도움을 받을 수 있는 방법'!A1" display="M1. 엑셀 활용시 LLM의 도움을 받을 수 있는 방법" xr:uid="{747DC731-86F4-4D8C-AFAD-B4A68AE98A64}"/>
    <hyperlink ref="B4" location="'M2. 데이터집계하기(!)'!A1" display="M2. 데이터집계하기(!)" xr:uid="{865C241B-94A3-4D31-9CC4-25FF441FC67D}"/>
    <hyperlink ref="B5" location="'M2. 데이터집계하기(2)'!A1" display="M2. 데이터집계하기(2)" xr:uid="{EED5C2EF-E636-4F6E-B9AC-1E0F9234130B}"/>
    <hyperlink ref="B6" location="'M2. 데이터집계하기(3)'!A1" display="M2. 데이터집계하기(3)" xr:uid="{B33F5D1D-20E3-469C-B0A0-A0C699442AFA}"/>
    <hyperlink ref="B7" location="'M3. 데이터정제하기(1)'!A1" display="M3. 데이터정제하기(1)" xr:uid="{E1834874-8012-4C49-8BAF-0EF61EF450AE}"/>
    <hyperlink ref="B8" location="'M3. 데이터정제하기(2)'!A1" display="M3. 데이터정제하기(2)" xr:uid="{7BBD29F7-F4AB-4230-859C-553D7C3689EA}"/>
    <hyperlink ref="B9" location="'M4. 데이터 변수파생'!A1" display="M4. 데이터 변수파생" xr:uid="{BD890DEC-9BBF-4694-B71E-CAC8C2B19A46}"/>
    <hyperlink ref="B10" location="'M5. 템플릿만들기(1)'!A1" display="M5. 템플릿만들기(1)" xr:uid="{B544B474-7906-40B5-8898-4B5BF9B81617}"/>
    <hyperlink ref="B11" location="'M5. 템플릿만들기(2)'!A1" display="M5. 템플릿만들기(2)" xr:uid="{FF8C516D-A930-4D39-ACFF-CF1B88F826B0}"/>
    <hyperlink ref="B12" location="'M6. 피벗차트 만들기 튜토리얼(1)'!A1" display="M6. 피벗차트 만들기 튜토리얼(1)" xr:uid="{8FDA4C70-5D7D-4430-9783-67B3E15B766A}"/>
    <hyperlink ref="B13" location="'M6. 피벗차트 만들기 튜토리얼(2)'!A1" display="M6. 피벗차트 만들기 튜토리얼(2)" xr:uid="{C461B91E-84E2-4C14-A3BE-C3BD2202C794}"/>
    <hyperlink ref="B14" location="'M7. 테이블,차트 데이터분석'!A1" display="M7. 테이블,차트 데이터분석" xr:uid="{B9C45FB1-B45B-439F-BDB5-058A8FCEF07D}"/>
    <hyperlink ref="B15" location="'M8. 코드없이 엑셀템플릿 제작'!A1" display="M8. 코드없이 엑셀템플릿 제작" xr:uid="{286C84CB-6890-4147-896B-2DA7C1FFE900}"/>
    <hyperlink ref="B16" location="'M9. 엑셀VBA with ChatGPT'!A1" display="M9. 엑셀VBA with ChatGPT" xr:uid="{6528988A-B433-4F55-95DE-CDED08661FFC}"/>
    <hyperlink ref="B17" location="'M10. 엑셀 GPT추가기능 (1)'!A1" display="M10. 엑셀 GPT추가기능 (1)" xr:uid="{D9B8ED00-6AD9-4EC0-9BF5-1DEC8D7C15B7}"/>
    <hyperlink ref="B18" location="'M10. 엑셀 GPT추가기능(2)'!A1" display="M10. 엑셀 GPT추가기능(2)" xr:uid="{9E23BE4C-BB92-405C-87C7-28402094BE01}"/>
    <hyperlink ref="B19" location="'M10. 엑셀 GPT추가기능(3)'!A1" display="M10. 엑셀 GPT추가기능(3)" xr:uid="{B39FAC6C-9D1F-44D1-ADBA-E93C6152A4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9"/>
  <sheetViews>
    <sheetView showGridLines="0" tabSelected="1" zoomScale="150" zoomScaleNormal="115" workbookViewId="0">
      <selection activeCell="O11" sqref="O11"/>
    </sheetView>
  </sheetViews>
  <sheetFormatPr baseColWidth="10" defaultColWidth="8.83203125" defaultRowHeight="14"/>
  <cols>
    <col min="1" max="1" width="1.6640625" style="2" customWidth="1"/>
    <col min="2" max="2" width="4.6640625" style="2" customWidth="1"/>
    <col min="3" max="3" width="9.6640625" style="2" customWidth="1"/>
    <col min="4" max="4" width="14.1640625" style="2" customWidth="1"/>
    <col min="5" max="5" width="5.5" style="2" customWidth="1"/>
    <col min="6" max="6" width="4.6640625" style="2" customWidth="1"/>
    <col min="7" max="7" width="10.6640625" style="2" bestFit="1" customWidth="1"/>
    <col min="8" max="8" width="10.33203125" style="2" bestFit="1" customWidth="1"/>
    <col min="9" max="9" width="9" style="2" bestFit="1" customWidth="1"/>
    <col min="10" max="10" width="9" style="2" customWidth="1"/>
    <col min="11" max="16384" width="8.83203125" style="2"/>
  </cols>
  <sheetData>
    <row r="1" spans="1:12">
      <c r="A1" s="1"/>
    </row>
    <row r="2" spans="1:12" ht="15.75" customHeight="1">
      <c r="B2" s="4" t="s">
        <v>0</v>
      </c>
      <c r="C2" s="4"/>
      <c r="D2" s="5"/>
      <c r="E2" s="5"/>
      <c r="F2" s="5"/>
      <c r="G2" s="5"/>
      <c r="H2" s="5"/>
      <c r="I2" s="5"/>
      <c r="J2" s="5"/>
    </row>
    <row r="3" spans="1:12" ht="30">
      <c r="B3" s="135" t="s">
        <v>19</v>
      </c>
      <c r="C3" s="135"/>
      <c r="D3" s="135"/>
      <c r="E3" s="135"/>
      <c r="F3" s="135"/>
      <c r="G3" s="135"/>
      <c r="H3" s="135"/>
      <c r="I3" s="135"/>
      <c r="J3" s="135"/>
    </row>
    <row r="4" spans="1:12" ht="10.5" customHeight="1">
      <c r="B4" s="6"/>
      <c r="C4" s="6"/>
      <c r="D4" s="6"/>
      <c r="E4" s="6"/>
      <c r="F4" s="6"/>
      <c r="G4" s="6"/>
      <c r="H4" s="6"/>
      <c r="I4" s="6"/>
      <c r="J4" s="6"/>
    </row>
    <row r="5" spans="1:12" ht="30.75" customHeight="1">
      <c r="B5" s="136" t="s">
        <v>1</v>
      </c>
      <c r="C5" s="136"/>
      <c r="D5" s="7"/>
      <c r="E5" s="8"/>
      <c r="F5" s="137" t="s">
        <v>20</v>
      </c>
      <c r="G5" s="9" t="s">
        <v>15</v>
      </c>
      <c r="H5" s="143" t="s">
        <v>22</v>
      </c>
      <c r="I5" s="144"/>
      <c r="J5" s="145"/>
    </row>
    <row r="6" spans="1:12" ht="30.75" customHeight="1">
      <c r="B6" s="136" t="s">
        <v>2</v>
      </c>
      <c r="C6" s="136"/>
      <c r="D6" s="11"/>
      <c r="E6" s="12"/>
      <c r="F6" s="138"/>
      <c r="G6" s="9" t="s">
        <v>16</v>
      </c>
      <c r="H6" s="140"/>
      <c r="I6" s="141"/>
      <c r="J6" s="142"/>
    </row>
    <row r="7" spans="1:12" ht="30.75" customHeight="1">
      <c r="B7" s="136" t="s">
        <v>3</v>
      </c>
      <c r="C7" s="136"/>
      <c r="D7" s="13"/>
      <c r="E7" s="14"/>
      <c r="F7" s="138"/>
      <c r="G7" s="9" t="s">
        <v>17</v>
      </c>
      <c r="H7" s="140"/>
      <c r="I7" s="141"/>
      <c r="J7" s="142"/>
    </row>
    <row r="8" spans="1:12" ht="30.75" customHeight="1">
      <c r="B8" s="5"/>
      <c r="C8" s="5"/>
      <c r="D8" s="5"/>
      <c r="E8" s="5"/>
      <c r="F8" s="139"/>
      <c r="G8" s="9" t="s">
        <v>18</v>
      </c>
      <c r="H8" s="140"/>
      <c r="I8" s="141"/>
      <c r="J8" s="142"/>
      <c r="L8" s="2" t="s">
        <v>4</v>
      </c>
    </row>
    <row r="9" spans="1:12" ht="13.5" customHeight="1">
      <c r="B9" s="15" t="s">
        <v>5</v>
      </c>
      <c r="C9" s="5"/>
      <c r="D9" s="5"/>
      <c r="E9" s="5"/>
      <c r="F9" s="5"/>
      <c r="G9" s="5"/>
      <c r="H9" s="5"/>
      <c r="I9" s="5"/>
      <c r="J9" s="5"/>
    </row>
    <row r="10" spans="1:12" ht="13.5" customHeight="1">
      <c r="B10" s="5"/>
      <c r="C10" s="5"/>
      <c r="D10" s="5"/>
      <c r="E10" s="5"/>
      <c r="F10" s="5"/>
      <c r="G10" s="5"/>
      <c r="H10" s="5"/>
      <c r="I10" s="5"/>
      <c r="J10" s="5"/>
    </row>
    <row r="11" spans="1:12" ht="41.25" customHeight="1">
      <c r="B11" s="149" t="s">
        <v>30</v>
      </c>
      <c r="C11" s="150"/>
      <c r="D11" s="151">
        <f>I11</f>
        <v>0</v>
      </c>
      <c r="E11" s="151"/>
      <c r="F11" s="151"/>
      <c r="G11" s="151"/>
      <c r="H11" s="151"/>
      <c r="I11" s="152">
        <f>H23+I23</f>
        <v>0</v>
      </c>
      <c r="J11" s="152"/>
    </row>
    <row r="12" spans="1:12" s="3" customFormat="1" ht="20.25" customHeight="1">
      <c r="B12" s="16" t="s">
        <v>0</v>
      </c>
      <c r="C12" s="146" t="s">
        <v>6</v>
      </c>
      <c r="D12" s="147"/>
      <c r="E12" s="17" t="s">
        <v>7</v>
      </c>
      <c r="F12" s="16" t="s">
        <v>8</v>
      </c>
      <c r="G12" s="16" t="s">
        <v>9</v>
      </c>
      <c r="H12" s="16" t="s">
        <v>10</v>
      </c>
      <c r="I12" s="16" t="s">
        <v>11</v>
      </c>
      <c r="J12" s="16" t="s">
        <v>12</v>
      </c>
    </row>
    <row r="13" spans="1:12" s="3" customFormat="1" ht="20.25" customHeight="1">
      <c r="B13" s="18">
        <v>1</v>
      </c>
      <c r="C13" s="30" t="s">
        <v>23</v>
      </c>
      <c r="D13" s="10">
        <v>3000</v>
      </c>
      <c r="E13" s="18">
        <v>7</v>
      </c>
      <c r="F13" s="18">
        <v>30</v>
      </c>
      <c r="G13" s="22">
        <v>3000</v>
      </c>
      <c r="H13" s="22"/>
      <c r="I13" s="22">
        <f>H13*10%</f>
        <v>0</v>
      </c>
      <c r="J13" s="21"/>
    </row>
    <row r="14" spans="1:12" s="3" customFormat="1" ht="20.25" customHeight="1">
      <c r="B14" s="18">
        <v>2</v>
      </c>
      <c r="C14" s="30" t="s">
        <v>24</v>
      </c>
      <c r="D14" s="10">
        <v>3000</v>
      </c>
      <c r="E14" s="18">
        <v>5</v>
      </c>
      <c r="F14" s="18">
        <v>40</v>
      </c>
      <c r="G14" s="22">
        <v>3000</v>
      </c>
      <c r="H14" s="22"/>
      <c r="I14" s="22">
        <f t="shared" ref="I14:I19" si="0">H14*10%</f>
        <v>0</v>
      </c>
      <c r="J14" s="21"/>
    </row>
    <row r="15" spans="1:12" s="3" customFormat="1" ht="20.25" customHeight="1">
      <c r="B15" s="18">
        <v>3</v>
      </c>
      <c r="C15" s="30" t="s">
        <v>25</v>
      </c>
      <c r="D15" s="10">
        <v>3000</v>
      </c>
      <c r="E15" s="18">
        <v>2</v>
      </c>
      <c r="F15" s="18">
        <v>50</v>
      </c>
      <c r="G15" s="22">
        <v>3000</v>
      </c>
      <c r="H15" s="22"/>
      <c r="I15" s="22">
        <f t="shared" si="0"/>
        <v>0</v>
      </c>
      <c r="J15" s="21"/>
    </row>
    <row r="16" spans="1:12" s="3" customFormat="1" ht="20.25" customHeight="1">
      <c r="B16" s="18">
        <v>4</v>
      </c>
      <c r="C16" s="30" t="s">
        <v>26</v>
      </c>
      <c r="D16" s="10">
        <v>3000</v>
      </c>
      <c r="E16" s="18">
        <v>5</v>
      </c>
      <c r="F16" s="18">
        <v>75</v>
      </c>
      <c r="G16" s="22">
        <v>3000</v>
      </c>
      <c r="H16" s="22"/>
      <c r="I16" s="22">
        <f t="shared" si="0"/>
        <v>0</v>
      </c>
      <c r="J16" s="21"/>
    </row>
    <row r="17" spans="2:10" s="3" customFormat="1" ht="20.25" customHeight="1">
      <c r="B17" s="18">
        <v>5</v>
      </c>
      <c r="C17" s="30" t="s">
        <v>27</v>
      </c>
      <c r="D17" s="10">
        <v>3000</v>
      </c>
      <c r="E17" s="18">
        <v>4</v>
      </c>
      <c r="F17" s="18">
        <v>55</v>
      </c>
      <c r="G17" s="22">
        <v>3000</v>
      </c>
      <c r="H17" s="22"/>
      <c r="I17" s="22">
        <f t="shared" si="0"/>
        <v>0</v>
      </c>
      <c r="J17" s="21"/>
    </row>
    <row r="18" spans="2:10" s="3" customFormat="1" ht="20.25" customHeight="1">
      <c r="B18" s="18">
        <v>6</v>
      </c>
      <c r="C18" s="30" t="s">
        <v>28</v>
      </c>
      <c r="D18" s="10">
        <v>3000</v>
      </c>
      <c r="E18" s="18">
        <v>7</v>
      </c>
      <c r="F18" s="18">
        <v>80</v>
      </c>
      <c r="G18" s="22">
        <v>3000</v>
      </c>
      <c r="H18" s="22"/>
      <c r="I18" s="22">
        <f t="shared" si="0"/>
        <v>0</v>
      </c>
      <c r="J18" s="21"/>
    </row>
    <row r="19" spans="2:10" s="3" customFormat="1" ht="20.25" customHeight="1">
      <c r="B19" s="18">
        <v>7</v>
      </c>
      <c r="C19" s="30" t="s">
        <v>29</v>
      </c>
      <c r="D19" s="10">
        <v>3000</v>
      </c>
      <c r="E19" s="18">
        <v>3</v>
      </c>
      <c r="F19" s="18">
        <v>30</v>
      </c>
      <c r="G19" s="22">
        <v>3000</v>
      </c>
      <c r="H19" s="22"/>
      <c r="I19" s="22">
        <f t="shared" si="0"/>
        <v>0</v>
      </c>
      <c r="J19" s="21"/>
    </row>
    <row r="20" spans="2:10" s="3" customFormat="1" ht="20.25" customHeight="1">
      <c r="B20" s="18"/>
      <c r="C20" s="19"/>
      <c r="D20" s="20"/>
      <c r="E20" s="21"/>
      <c r="F20" s="18"/>
      <c r="G20" s="22"/>
      <c r="H20" s="22"/>
      <c r="I20" s="22"/>
      <c r="J20" s="21"/>
    </row>
    <row r="21" spans="2:10" s="3" customFormat="1" ht="20.25" customHeight="1">
      <c r="B21" s="18"/>
      <c r="C21" s="19"/>
      <c r="D21" s="20"/>
      <c r="E21" s="21"/>
      <c r="F21" s="18"/>
      <c r="G21" s="22"/>
      <c r="H21" s="22"/>
      <c r="I21" s="22"/>
      <c r="J21" s="21"/>
    </row>
    <row r="22" spans="2:10" s="3" customFormat="1" ht="20.25" customHeight="1">
      <c r="B22" s="18"/>
      <c r="C22" s="19"/>
      <c r="D22" s="20"/>
      <c r="E22" s="21"/>
      <c r="F22" s="18"/>
      <c r="G22" s="22"/>
      <c r="H22" s="22"/>
      <c r="I22" s="22"/>
      <c r="J22" s="21"/>
    </row>
    <row r="23" spans="2:10" ht="25.5" customHeight="1">
      <c r="B23" s="148" t="s">
        <v>13</v>
      </c>
      <c r="C23" s="148"/>
      <c r="D23" s="148"/>
      <c r="E23" s="148"/>
      <c r="F23" s="148"/>
      <c r="G23" s="148"/>
      <c r="H23" s="22">
        <f>SUM(H13:H22)</f>
        <v>0</v>
      </c>
      <c r="I23" s="22">
        <f>SUM(I13:I22)</f>
        <v>0</v>
      </c>
      <c r="J23" s="21"/>
    </row>
    <row r="24" spans="2:10" ht="17">
      <c r="B24" s="23" t="s">
        <v>14</v>
      </c>
      <c r="C24" s="24"/>
      <c r="D24" s="24"/>
      <c r="E24" s="24"/>
      <c r="F24" s="24"/>
      <c r="G24" s="24"/>
      <c r="H24" s="24"/>
      <c r="I24" s="24"/>
      <c r="J24" s="25"/>
    </row>
    <row r="25" spans="2:10" ht="15" customHeight="1">
      <c r="B25" s="26" t="s">
        <v>21</v>
      </c>
      <c r="C25" s="5"/>
      <c r="D25" s="5"/>
      <c r="E25" s="5"/>
      <c r="F25" s="5"/>
      <c r="G25" s="5"/>
      <c r="H25" s="5"/>
      <c r="I25" s="5"/>
      <c r="J25" s="27"/>
    </row>
    <row r="26" spans="2:10" ht="15" customHeight="1">
      <c r="B26" s="28"/>
      <c r="C26" s="4"/>
      <c r="D26" s="4"/>
      <c r="E26" s="4"/>
      <c r="F26" s="4"/>
      <c r="G26" s="4"/>
      <c r="H26" s="4"/>
      <c r="I26" s="4"/>
      <c r="J26" s="29"/>
    </row>
    <row r="28" spans="2:10" s="119" customFormat="1" ht="30" customHeight="1"/>
    <row r="29" spans="2:10" s="132" customFormat="1" ht="5.5" customHeight="1"/>
  </sheetData>
  <mergeCells count="14">
    <mergeCell ref="C12:D12"/>
    <mergeCell ref="B23:G23"/>
    <mergeCell ref="B11:C11"/>
    <mergeCell ref="D11:H11"/>
    <mergeCell ref="I11:J11"/>
    <mergeCell ref="B3:J3"/>
    <mergeCell ref="B5:C5"/>
    <mergeCell ref="B6:C6"/>
    <mergeCell ref="B7:C7"/>
    <mergeCell ref="F5:F8"/>
    <mergeCell ref="H8:J8"/>
    <mergeCell ref="H7:J7"/>
    <mergeCell ref="H6:J6"/>
    <mergeCell ref="H5:J5"/>
  </mergeCells>
  <phoneticPr fontId="3" type="noConversion"/>
  <printOptions horizontalCentered="1"/>
  <pageMargins left="0.19685039370078741" right="0.27559055118110237" top="0.98425196850393704" bottom="0.98425196850393704" header="0.51181102362204722" footer="0.51181102362204722"/>
  <pageSetup paperSize="9" fitToHeight="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5FA0-19E5-42F2-8F02-FF3CC6EC2B36}">
  <sheetPr codeName="Sheet2"/>
  <dimension ref="A1:P21"/>
  <sheetViews>
    <sheetView workbookViewId="0">
      <selection activeCell="D7" sqref="D7"/>
    </sheetView>
  </sheetViews>
  <sheetFormatPr baseColWidth="10" defaultColWidth="8.83203125" defaultRowHeight="18" customHeight="1"/>
  <cols>
    <col min="1" max="1" width="11.5" style="34" bestFit="1" customWidth="1"/>
    <col min="2" max="10" width="8.83203125" style="34"/>
    <col min="11" max="11" width="13" style="34" bestFit="1" customWidth="1"/>
    <col min="12" max="16384" width="8.83203125" style="34"/>
  </cols>
  <sheetData>
    <row r="1" spans="1:16" ht="18" customHeight="1">
      <c r="A1" s="35" t="s">
        <v>31</v>
      </c>
      <c r="B1" s="35" t="s">
        <v>32</v>
      </c>
      <c r="C1" s="35" t="s">
        <v>33</v>
      </c>
      <c r="D1" s="35" t="s">
        <v>34</v>
      </c>
      <c r="E1" s="36" t="s">
        <v>35</v>
      </c>
      <c r="F1" s="36" t="s">
        <v>36</v>
      </c>
      <c r="G1" s="36" t="s">
        <v>37</v>
      </c>
      <c r="H1" s="36" t="s">
        <v>38</v>
      </c>
      <c r="I1" s="36" t="s">
        <v>39</v>
      </c>
      <c r="K1" s="36" t="s">
        <v>64</v>
      </c>
      <c r="L1" s="36" t="s">
        <v>35</v>
      </c>
      <c r="M1" s="36" t="s">
        <v>36</v>
      </c>
      <c r="N1" s="36" t="s">
        <v>37</v>
      </c>
      <c r="O1" s="36" t="s">
        <v>38</v>
      </c>
      <c r="P1" s="36" t="s">
        <v>39</v>
      </c>
    </row>
    <row r="2" spans="1:16" ht="18" customHeight="1">
      <c r="A2" s="37" t="s">
        <v>40</v>
      </c>
      <c r="B2" s="31">
        <v>2</v>
      </c>
      <c r="C2" s="31">
        <v>20152965</v>
      </c>
      <c r="D2" s="33" t="s">
        <v>41</v>
      </c>
      <c r="E2" s="32">
        <v>52.11</v>
      </c>
      <c r="F2" s="32">
        <v>46.82</v>
      </c>
      <c r="G2" s="32">
        <v>44.44</v>
      </c>
      <c r="H2" s="32">
        <v>83.33</v>
      </c>
      <c r="I2" s="32">
        <v>50</v>
      </c>
      <c r="K2" s="38" t="s">
        <v>40</v>
      </c>
      <c r="L2" s="39">
        <f t="shared" ref="L2:P9" si="0">AVERAGEIFS(INDEX($E$2:$I$16, , MATCH(L$1, $E$1:$I$1, 0)), $A$2:$A$16, $K2)</f>
        <v>60.54</v>
      </c>
      <c r="M2" s="39">
        <f t="shared" si="0"/>
        <v>61.819999999999993</v>
      </c>
      <c r="N2" s="39">
        <f t="shared" si="0"/>
        <v>72.22</v>
      </c>
      <c r="O2" s="39">
        <f t="shared" si="0"/>
        <v>91.664999999999992</v>
      </c>
      <c r="P2" s="39">
        <f t="shared" si="0"/>
        <v>75</v>
      </c>
    </row>
    <row r="3" spans="1:16" ht="18" customHeight="1">
      <c r="A3" s="37" t="s">
        <v>42</v>
      </c>
      <c r="B3" s="31">
        <v>3</v>
      </c>
      <c r="C3" s="31">
        <v>20161951</v>
      </c>
      <c r="D3" s="33" t="s">
        <v>43</v>
      </c>
      <c r="E3" s="32">
        <v>55.94</v>
      </c>
      <c r="F3" s="32">
        <v>57.27</v>
      </c>
      <c r="G3" s="32">
        <v>100</v>
      </c>
      <c r="H3" s="32">
        <v>95.56</v>
      </c>
      <c r="I3" s="32">
        <v>100</v>
      </c>
      <c r="K3" s="38" t="s">
        <v>42</v>
      </c>
      <c r="L3" s="39">
        <f t="shared" si="0"/>
        <v>55.94</v>
      </c>
      <c r="M3" s="39">
        <f t="shared" si="0"/>
        <v>57.27</v>
      </c>
      <c r="N3" s="39">
        <f t="shared" si="0"/>
        <v>100</v>
      </c>
      <c r="O3" s="39">
        <f t="shared" si="0"/>
        <v>95.56</v>
      </c>
      <c r="P3" s="39">
        <f t="shared" si="0"/>
        <v>100</v>
      </c>
    </row>
    <row r="4" spans="1:16" ht="18" customHeight="1">
      <c r="A4" s="37" t="s">
        <v>44</v>
      </c>
      <c r="B4" s="31">
        <v>3</v>
      </c>
      <c r="C4" s="31">
        <v>20151099</v>
      </c>
      <c r="D4" s="33" t="s">
        <v>45</v>
      </c>
      <c r="E4" s="32">
        <v>59</v>
      </c>
      <c r="F4" s="32">
        <v>58.18</v>
      </c>
      <c r="G4" s="32">
        <v>100</v>
      </c>
      <c r="H4" s="32">
        <v>100</v>
      </c>
      <c r="I4" s="32">
        <v>100</v>
      </c>
      <c r="K4" s="38" t="s">
        <v>44</v>
      </c>
      <c r="L4" s="39">
        <f t="shared" si="0"/>
        <v>55.36</v>
      </c>
      <c r="M4" s="39">
        <f t="shared" si="0"/>
        <v>55.225000000000001</v>
      </c>
      <c r="N4" s="39">
        <f t="shared" si="0"/>
        <v>100</v>
      </c>
      <c r="O4" s="39">
        <f t="shared" si="0"/>
        <v>97.22</v>
      </c>
      <c r="P4" s="39">
        <f t="shared" si="0"/>
        <v>100</v>
      </c>
    </row>
    <row r="5" spans="1:16" ht="18" customHeight="1">
      <c r="A5" s="37" t="s">
        <v>46</v>
      </c>
      <c r="B5" s="31">
        <v>4</v>
      </c>
      <c r="C5" s="31">
        <v>20121583</v>
      </c>
      <c r="D5" s="33" t="s">
        <v>47</v>
      </c>
      <c r="E5" s="32">
        <v>19.920000000000002</v>
      </c>
      <c r="F5" s="32">
        <v>32.270000000000003</v>
      </c>
      <c r="G5" s="32">
        <v>33.33</v>
      </c>
      <c r="H5" s="32">
        <v>74.44</v>
      </c>
      <c r="I5" s="32">
        <v>50</v>
      </c>
      <c r="K5" s="38" t="s">
        <v>46</v>
      </c>
      <c r="L5" s="39">
        <f t="shared" si="0"/>
        <v>54.594999999999999</v>
      </c>
      <c r="M5" s="39">
        <f t="shared" si="0"/>
        <v>51.59</v>
      </c>
      <c r="N5" s="39">
        <f t="shared" si="0"/>
        <v>66.664999999999992</v>
      </c>
      <c r="O5" s="39">
        <f t="shared" si="0"/>
        <v>87.22</v>
      </c>
      <c r="P5" s="39">
        <f t="shared" si="0"/>
        <v>75</v>
      </c>
    </row>
    <row r="6" spans="1:16" ht="18" customHeight="1">
      <c r="A6" s="37" t="s">
        <v>40</v>
      </c>
      <c r="B6" s="31">
        <v>3</v>
      </c>
      <c r="C6" s="31">
        <v>20165127</v>
      </c>
      <c r="D6" s="33" t="s">
        <v>48</v>
      </c>
      <c r="E6" s="32">
        <v>68.97</v>
      </c>
      <c r="F6" s="32">
        <v>76.819999999999993</v>
      </c>
      <c r="G6" s="32">
        <v>100</v>
      </c>
      <c r="H6" s="32">
        <v>100</v>
      </c>
      <c r="I6" s="32">
        <v>100</v>
      </c>
      <c r="K6" s="38" t="s">
        <v>50</v>
      </c>
      <c r="L6" s="39">
        <f t="shared" si="0"/>
        <v>89.465000000000003</v>
      </c>
      <c r="M6" s="39">
        <f t="shared" si="0"/>
        <v>79.775000000000006</v>
      </c>
      <c r="N6" s="39">
        <f t="shared" si="0"/>
        <v>100</v>
      </c>
      <c r="O6" s="39">
        <f t="shared" si="0"/>
        <v>99.444999999999993</v>
      </c>
      <c r="P6" s="39">
        <f t="shared" si="0"/>
        <v>100</v>
      </c>
    </row>
    <row r="7" spans="1:16" ht="18" customHeight="1">
      <c r="A7" s="37" t="s">
        <v>44</v>
      </c>
      <c r="B7" s="31">
        <v>3</v>
      </c>
      <c r="C7" s="31">
        <v>20165203</v>
      </c>
      <c r="D7" s="33" t="s">
        <v>49</v>
      </c>
      <c r="E7" s="32">
        <v>51.72</v>
      </c>
      <c r="F7" s="32">
        <v>52.27</v>
      </c>
      <c r="G7" s="32">
        <v>100</v>
      </c>
      <c r="H7" s="32">
        <v>94.44</v>
      </c>
      <c r="I7" s="32">
        <v>100</v>
      </c>
      <c r="K7" s="38" t="s">
        <v>52</v>
      </c>
      <c r="L7" s="39">
        <f t="shared" si="0"/>
        <v>70.69</v>
      </c>
      <c r="M7" s="39">
        <f t="shared" si="0"/>
        <v>68.864999999999995</v>
      </c>
      <c r="N7" s="39">
        <f t="shared" si="0"/>
        <v>100</v>
      </c>
      <c r="O7" s="39">
        <f t="shared" si="0"/>
        <v>93.89</v>
      </c>
      <c r="P7" s="39">
        <f t="shared" si="0"/>
        <v>100</v>
      </c>
    </row>
    <row r="8" spans="1:16" ht="18" customHeight="1">
      <c r="A8" s="37" t="s">
        <v>50</v>
      </c>
      <c r="B8" s="31">
        <v>4</v>
      </c>
      <c r="C8" s="31">
        <v>20122189</v>
      </c>
      <c r="D8" s="33" t="s">
        <v>51</v>
      </c>
      <c r="E8" s="32">
        <v>93.87</v>
      </c>
      <c r="F8" s="32">
        <v>84.55</v>
      </c>
      <c r="G8" s="32">
        <v>100</v>
      </c>
      <c r="H8" s="32">
        <v>100</v>
      </c>
      <c r="I8" s="32">
        <v>100</v>
      </c>
      <c r="K8" s="38" t="s">
        <v>56</v>
      </c>
      <c r="L8" s="39">
        <f t="shared" si="0"/>
        <v>58.75</v>
      </c>
      <c r="M8" s="39">
        <f t="shared" si="0"/>
        <v>39.546666666666667</v>
      </c>
      <c r="N8" s="39">
        <f t="shared" si="0"/>
        <v>81.483333333333334</v>
      </c>
      <c r="O8" s="39">
        <f t="shared" si="0"/>
        <v>91.483333333333334</v>
      </c>
      <c r="P8" s="39">
        <f t="shared" si="0"/>
        <v>100</v>
      </c>
    </row>
    <row r="9" spans="1:16" ht="18" customHeight="1">
      <c r="A9" s="37" t="s">
        <v>52</v>
      </c>
      <c r="B9" s="31">
        <v>3</v>
      </c>
      <c r="C9" s="31">
        <v>20141243</v>
      </c>
      <c r="D9" s="33" t="s">
        <v>53</v>
      </c>
      <c r="E9" s="32">
        <v>86.59</v>
      </c>
      <c r="F9" s="32">
        <v>76.819999999999993</v>
      </c>
      <c r="G9" s="32">
        <v>100</v>
      </c>
      <c r="H9" s="32">
        <v>97.78</v>
      </c>
      <c r="I9" s="32">
        <v>100</v>
      </c>
      <c r="K9" s="38" t="s">
        <v>60</v>
      </c>
      <c r="L9" s="39">
        <f t="shared" si="0"/>
        <v>55.94</v>
      </c>
      <c r="M9" s="39">
        <f t="shared" si="0"/>
        <v>41.36</v>
      </c>
      <c r="N9" s="39">
        <f t="shared" si="0"/>
        <v>100</v>
      </c>
      <c r="O9" s="39">
        <f t="shared" si="0"/>
        <v>100</v>
      </c>
      <c r="P9" s="39">
        <f t="shared" si="0"/>
        <v>100</v>
      </c>
    </row>
    <row r="10" spans="1:16" ht="18" customHeight="1">
      <c r="A10" s="37" t="s">
        <v>52</v>
      </c>
      <c r="B10" s="31">
        <v>2</v>
      </c>
      <c r="C10" s="31">
        <v>20153081</v>
      </c>
      <c r="D10" s="33" t="s">
        <v>54</v>
      </c>
      <c r="E10" s="32">
        <v>54.79</v>
      </c>
      <c r="F10" s="32">
        <v>60.91</v>
      </c>
      <c r="G10" s="32">
        <v>100</v>
      </c>
      <c r="H10" s="32">
        <v>90</v>
      </c>
      <c r="I10" s="32">
        <v>100</v>
      </c>
      <c r="K10"/>
    </row>
    <row r="11" spans="1:16" ht="18" customHeight="1">
      <c r="A11" s="37" t="s">
        <v>50</v>
      </c>
      <c r="B11" s="31">
        <v>3</v>
      </c>
      <c r="C11" s="31">
        <v>20141255</v>
      </c>
      <c r="D11" s="33" t="s">
        <v>55</v>
      </c>
      <c r="E11" s="32">
        <v>85.06</v>
      </c>
      <c r="F11" s="32">
        <v>75</v>
      </c>
      <c r="G11" s="32">
        <v>100</v>
      </c>
      <c r="H11" s="32">
        <v>98.89</v>
      </c>
      <c r="I11" s="32">
        <v>100</v>
      </c>
    </row>
    <row r="12" spans="1:16" ht="18" customHeight="1">
      <c r="A12" s="37" t="s">
        <v>56</v>
      </c>
      <c r="B12" s="31">
        <v>1</v>
      </c>
      <c r="C12" s="31">
        <v>20142967</v>
      </c>
      <c r="D12" s="33" t="s">
        <v>57</v>
      </c>
      <c r="E12" s="32">
        <v>55.56</v>
      </c>
      <c r="F12" s="32">
        <v>19.55</v>
      </c>
      <c r="G12" s="32">
        <v>88.89</v>
      </c>
      <c r="H12" s="32">
        <v>96.67</v>
      </c>
      <c r="I12" s="32">
        <v>100</v>
      </c>
    </row>
    <row r="13" spans="1:16" ht="18" customHeight="1">
      <c r="A13" s="37" t="s">
        <v>46</v>
      </c>
      <c r="B13" s="31">
        <v>3</v>
      </c>
      <c r="C13" s="31">
        <v>20121418</v>
      </c>
      <c r="D13" s="33" t="s">
        <v>58</v>
      </c>
      <c r="E13" s="32">
        <v>89.27</v>
      </c>
      <c r="F13" s="32">
        <v>70.91</v>
      </c>
      <c r="G13" s="32">
        <v>100</v>
      </c>
      <c r="H13" s="32">
        <v>100</v>
      </c>
      <c r="I13" s="32">
        <v>100</v>
      </c>
    </row>
    <row r="14" spans="1:16" ht="18" customHeight="1">
      <c r="A14" s="37" t="s">
        <v>56</v>
      </c>
      <c r="B14" s="31">
        <v>1</v>
      </c>
      <c r="C14" s="31">
        <v>20142986</v>
      </c>
      <c r="D14" s="33" t="s">
        <v>59</v>
      </c>
      <c r="E14" s="32">
        <v>68.58</v>
      </c>
      <c r="F14" s="32">
        <v>75.45</v>
      </c>
      <c r="G14" s="32">
        <v>88.89</v>
      </c>
      <c r="H14" s="32">
        <v>86.67</v>
      </c>
      <c r="I14" s="32">
        <v>100</v>
      </c>
    </row>
    <row r="15" spans="1:16" ht="18" customHeight="1">
      <c r="A15" s="37" t="s">
        <v>60</v>
      </c>
      <c r="B15" s="31">
        <v>1</v>
      </c>
      <c r="C15" s="31">
        <v>20171170</v>
      </c>
      <c r="D15" s="33" t="s">
        <v>61</v>
      </c>
      <c r="E15" s="32">
        <v>55.94</v>
      </c>
      <c r="F15" s="32">
        <v>41.36</v>
      </c>
      <c r="G15" s="32">
        <v>100</v>
      </c>
      <c r="H15" s="32">
        <v>100</v>
      </c>
      <c r="I15" s="32">
        <v>100</v>
      </c>
    </row>
    <row r="16" spans="1:16" ht="18" customHeight="1">
      <c r="A16" s="37" t="s">
        <v>56</v>
      </c>
      <c r="B16" s="31">
        <v>4</v>
      </c>
      <c r="C16" s="31">
        <v>20121274</v>
      </c>
      <c r="D16" s="33" t="s">
        <v>62</v>
      </c>
      <c r="E16" s="32">
        <v>52.11</v>
      </c>
      <c r="F16" s="32">
        <v>23.64</v>
      </c>
      <c r="G16" s="32">
        <v>66.67</v>
      </c>
      <c r="H16" s="32">
        <v>91.11</v>
      </c>
      <c r="I16" s="32">
        <v>100</v>
      </c>
    </row>
    <row r="17" spans="1:9" ht="18" customHeight="1">
      <c r="A17" s="37" t="s">
        <v>60</v>
      </c>
      <c r="B17" s="31">
        <v>3</v>
      </c>
      <c r="C17" s="31">
        <v>20141284</v>
      </c>
      <c r="D17" s="33" t="s">
        <v>63</v>
      </c>
      <c r="E17" s="32">
        <v>71.260000000000005</v>
      </c>
      <c r="F17" s="32">
        <v>67.73</v>
      </c>
      <c r="G17" s="32">
        <v>100</v>
      </c>
      <c r="H17" s="32">
        <v>98.89</v>
      </c>
      <c r="I17" s="32">
        <v>100</v>
      </c>
    </row>
    <row r="20" spans="1:9" s="120" customFormat="1" ht="30" customHeight="1"/>
    <row r="21" spans="1:9" s="126" customFormat="1" ht="5.5" customHeight="1"/>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FB65-DD4B-42A3-BDD8-C00AF2F2B27B}">
  <sheetPr codeName="Sheet3"/>
  <dimension ref="A1:Q20"/>
  <sheetViews>
    <sheetView workbookViewId="0">
      <selection activeCell="A19" sqref="A19:XFD19"/>
    </sheetView>
  </sheetViews>
  <sheetFormatPr baseColWidth="10" defaultColWidth="8.83203125" defaultRowHeight="18" customHeight="1"/>
  <cols>
    <col min="1" max="1" width="11.5" style="34" bestFit="1" customWidth="1"/>
    <col min="2" max="10" width="8.83203125" style="34"/>
    <col min="11" max="11" width="7.1640625" style="34" customWidth="1"/>
    <col min="12" max="12" width="11.5" style="34" bestFit="1" customWidth="1"/>
    <col min="13" max="16384" width="8.83203125" style="34"/>
  </cols>
  <sheetData>
    <row r="1" spans="1:17" ht="18" customHeight="1">
      <c r="A1" s="35" t="s">
        <v>31</v>
      </c>
      <c r="B1" s="35" t="s">
        <v>32</v>
      </c>
      <c r="C1" s="35" t="s">
        <v>33</v>
      </c>
      <c r="D1" s="35" t="s">
        <v>34</v>
      </c>
      <c r="E1" s="36" t="s">
        <v>35</v>
      </c>
      <c r="F1" s="36" t="s">
        <v>36</v>
      </c>
      <c r="G1" s="36" t="s">
        <v>37</v>
      </c>
      <c r="H1" s="36" t="s">
        <v>38</v>
      </c>
      <c r="I1" s="36" t="s">
        <v>39</v>
      </c>
    </row>
    <row r="2" spans="1:17" ht="18" customHeight="1">
      <c r="A2" s="37" t="s">
        <v>40</v>
      </c>
      <c r="B2" s="31">
        <v>2</v>
      </c>
      <c r="C2" s="31">
        <v>20152965</v>
      </c>
      <c r="D2" s="33" t="s">
        <v>41</v>
      </c>
      <c r="E2" s="32">
        <v>52.11</v>
      </c>
      <c r="F2" s="32">
        <v>46.82</v>
      </c>
      <c r="G2" s="32">
        <v>44.44</v>
      </c>
      <c r="H2" s="32">
        <v>83.33</v>
      </c>
      <c r="I2" s="32">
        <v>50</v>
      </c>
      <c r="L2" s="36" t="s">
        <v>65</v>
      </c>
      <c r="M2" s="49" t="s">
        <v>66</v>
      </c>
      <c r="O2" s="153">
        <f>AVERAGEIFS(INDEX($E$2:$I$102, , MATCH(M3, $E$1:$I$1, 0)), $A$2:$A$102, M2)</f>
        <v>68.864999999999995</v>
      </c>
      <c r="P2" s="153"/>
      <c r="Q2" s="153"/>
    </row>
    <row r="3" spans="1:17" ht="18" customHeight="1">
      <c r="A3" s="37" t="s">
        <v>42</v>
      </c>
      <c r="B3" s="31">
        <v>3</v>
      </c>
      <c r="C3" s="31">
        <v>20161951</v>
      </c>
      <c r="D3" s="33" t="s">
        <v>43</v>
      </c>
      <c r="E3" s="32">
        <v>55.94</v>
      </c>
      <c r="F3" s="32">
        <v>57.27</v>
      </c>
      <c r="G3" s="32">
        <v>100</v>
      </c>
      <c r="H3" s="32">
        <v>95.56</v>
      </c>
      <c r="I3" s="32">
        <v>100</v>
      </c>
      <c r="L3" s="36" t="s">
        <v>64</v>
      </c>
      <c r="M3" s="49" t="s">
        <v>67</v>
      </c>
      <c r="O3" s="153"/>
      <c r="P3" s="153"/>
      <c r="Q3" s="153"/>
    </row>
    <row r="4" spans="1:17" ht="18" customHeight="1">
      <c r="A4" s="37" t="s">
        <v>44</v>
      </c>
      <c r="B4" s="31">
        <v>3</v>
      </c>
      <c r="C4" s="31">
        <v>20151099</v>
      </c>
      <c r="D4" s="33" t="s">
        <v>45</v>
      </c>
      <c r="E4" s="32">
        <v>59</v>
      </c>
      <c r="F4" s="32">
        <v>58.18</v>
      </c>
      <c r="G4" s="32">
        <v>100</v>
      </c>
      <c r="H4" s="32">
        <v>100</v>
      </c>
      <c r="I4" s="32">
        <v>100</v>
      </c>
    </row>
    <row r="5" spans="1:17" ht="18" customHeight="1">
      <c r="A5" s="37" t="s">
        <v>46</v>
      </c>
      <c r="B5" s="31">
        <v>4</v>
      </c>
      <c r="C5" s="31">
        <v>20121583</v>
      </c>
      <c r="D5" s="33" t="s">
        <v>47</v>
      </c>
      <c r="E5" s="32">
        <v>19.920000000000002</v>
      </c>
      <c r="F5" s="32">
        <v>32.270000000000003</v>
      </c>
      <c r="G5" s="32">
        <v>33.33</v>
      </c>
      <c r="H5" s="32">
        <v>74.44</v>
      </c>
      <c r="I5" s="32">
        <v>50</v>
      </c>
    </row>
    <row r="6" spans="1:17" ht="18" customHeight="1">
      <c r="A6" s="37" t="s">
        <v>40</v>
      </c>
      <c r="B6" s="31">
        <v>3</v>
      </c>
      <c r="C6" s="31">
        <v>20165127</v>
      </c>
      <c r="D6" s="33" t="s">
        <v>48</v>
      </c>
      <c r="E6" s="32">
        <v>68.97</v>
      </c>
      <c r="F6" s="32">
        <v>76.819999999999993</v>
      </c>
      <c r="G6" s="32">
        <v>100</v>
      </c>
      <c r="H6" s="32">
        <v>100</v>
      </c>
      <c r="I6" s="32">
        <v>100</v>
      </c>
    </row>
    <row r="7" spans="1:17" ht="18" customHeight="1">
      <c r="A7" s="37" t="s">
        <v>44</v>
      </c>
      <c r="B7" s="31">
        <v>3</v>
      </c>
      <c r="C7" s="31">
        <v>20165203</v>
      </c>
      <c r="D7" s="33" t="s">
        <v>49</v>
      </c>
      <c r="E7" s="32">
        <v>51.72</v>
      </c>
      <c r="F7" s="32">
        <v>52.27</v>
      </c>
      <c r="G7" s="32">
        <v>100</v>
      </c>
      <c r="H7" s="32">
        <v>94.44</v>
      </c>
      <c r="I7" s="32">
        <v>100</v>
      </c>
    </row>
    <row r="8" spans="1:17" ht="18" customHeight="1">
      <c r="A8" s="37" t="s">
        <v>50</v>
      </c>
      <c r="B8" s="31">
        <v>4</v>
      </c>
      <c r="C8" s="31">
        <v>20122189</v>
      </c>
      <c r="D8" s="33" t="s">
        <v>51</v>
      </c>
      <c r="E8" s="32">
        <v>93.87</v>
      </c>
      <c r="F8" s="32">
        <v>84.55</v>
      </c>
      <c r="G8" s="32">
        <v>100</v>
      </c>
      <c r="H8" s="32">
        <v>100</v>
      </c>
      <c r="I8" s="32">
        <v>100</v>
      </c>
    </row>
    <row r="9" spans="1:17" ht="18" customHeight="1">
      <c r="A9" s="37" t="s">
        <v>52</v>
      </c>
      <c r="B9" s="31">
        <v>3</v>
      </c>
      <c r="C9" s="31">
        <v>20141243</v>
      </c>
      <c r="D9" s="33" t="s">
        <v>53</v>
      </c>
      <c r="E9" s="32">
        <v>86.59</v>
      </c>
      <c r="F9" s="32">
        <v>76.819999999999993</v>
      </c>
      <c r="G9" s="32">
        <v>100</v>
      </c>
      <c r="H9" s="32">
        <v>97.78</v>
      </c>
      <c r="I9" s="32">
        <v>100</v>
      </c>
    </row>
    <row r="10" spans="1:17" ht="18" customHeight="1">
      <c r="A10" s="37" t="s">
        <v>52</v>
      </c>
      <c r="B10" s="31">
        <v>2</v>
      </c>
      <c r="C10" s="31">
        <v>20153081</v>
      </c>
      <c r="D10" s="33" t="s">
        <v>54</v>
      </c>
      <c r="E10" s="32">
        <v>54.79</v>
      </c>
      <c r="F10" s="32">
        <v>60.91</v>
      </c>
      <c r="G10" s="32">
        <v>100</v>
      </c>
      <c r="H10" s="32">
        <v>90</v>
      </c>
      <c r="I10" s="32">
        <v>100</v>
      </c>
    </row>
    <row r="11" spans="1:17" ht="18" customHeight="1">
      <c r="A11" s="37" t="s">
        <v>50</v>
      </c>
      <c r="B11" s="31">
        <v>3</v>
      </c>
      <c r="C11" s="31">
        <v>20141255</v>
      </c>
      <c r="D11" s="33" t="s">
        <v>55</v>
      </c>
      <c r="E11" s="32">
        <v>85.06</v>
      </c>
      <c r="F11" s="32">
        <v>75</v>
      </c>
      <c r="G11" s="32">
        <v>100</v>
      </c>
      <c r="H11" s="32">
        <v>98.89</v>
      </c>
      <c r="I11" s="32">
        <v>100</v>
      </c>
      <c r="L11"/>
    </row>
    <row r="12" spans="1:17" ht="18" customHeight="1">
      <c r="A12" s="37" t="s">
        <v>56</v>
      </c>
      <c r="B12" s="31">
        <v>1</v>
      </c>
      <c r="C12" s="31">
        <v>20142967</v>
      </c>
      <c r="D12" s="33" t="s">
        <v>57</v>
      </c>
      <c r="E12" s="32">
        <v>55.56</v>
      </c>
      <c r="F12" s="32">
        <v>19.55</v>
      </c>
      <c r="G12" s="32">
        <v>88.89</v>
      </c>
      <c r="H12" s="32">
        <v>96.67</v>
      </c>
      <c r="I12" s="32">
        <v>100</v>
      </c>
    </row>
    <row r="13" spans="1:17" ht="18" customHeight="1">
      <c r="A13" s="37" t="s">
        <v>46</v>
      </c>
      <c r="B13" s="31">
        <v>3</v>
      </c>
      <c r="C13" s="31">
        <v>20121418</v>
      </c>
      <c r="D13" s="33" t="s">
        <v>58</v>
      </c>
      <c r="E13" s="32">
        <v>89.27</v>
      </c>
      <c r="F13" s="32">
        <v>70.91</v>
      </c>
      <c r="G13" s="32">
        <v>100</v>
      </c>
      <c r="H13" s="32">
        <v>100</v>
      </c>
      <c r="I13" s="32">
        <v>100</v>
      </c>
    </row>
    <row r="14" spans="1:17" ht="18" customHeight="1">
      <c r="A14" s="37" t="s">
        <v>56</v>
      </c>
      <c r="B14" s="31">
        <v>1</v>
      </c>
      <c r="C14" s="31">
        <v>20142986</v>
      </c>
      <c r="D14" s="33" t="s">
        <v>59</v>
      </c>
      <c r="E14" s="32">
        <v>68.58</v>
      </c>
      <c r="F14" s="32">
        <v>75.45</v>
      </c>
      <c r="G14" s="32">
        <v>88.89</v>
      </c>
      <c r="H14" s="32">
        <v>86.67</v>
      </c>
      <c r="I14" s="32">
        <v>100</v>
      </c>
    </row>
    <row r="15" spans="1:17" ht="18" customHeight="1">
      <c r="A15" s="37" t="s">
        <v>60</v>
      </c>
      <c r="B15" s="31">
        <v>1</v>
      </c>
      <c r="C15" s="31">
        <v>20171170</v>
      </c>
      <c r="D15" s="33" t="s">
        <v>61</v>
      </c>
      <c r="E15" s="32">
        <v>55.94</v>
      </c>
      <c r="F15" s="32">
        <v>41.36</v>
      </c>
      <c r="G15" s="32">
        <v>100</v>
      </c>
      <c r="H15" s="32">
        <v>100</v>
      </c>
      <c r="I15" s="32">
        <v>100</v>
      </c>
      <c r="L15"/>
    </row>
    <row r="16" spans="1:17" ht="18" customHeight="1">
      <c r="A16" s="37" t="s">
        <v>56</v>
      </c>
      <c r="B16" s="31">
        <v>4</v>
      </c>
      <c r="C16" s="31">
        <v>20121274</v>
      </c>
      <c r="D16" s="33" t="s">
        <v>62</v>
      </c>
      <c r="E16" s="32">
        <v>52.11</v>
      </c>
      <c r="F16" s="32">
        <v>23.64</v>
      </c>
      <c r="G16" s="32">
        <v>66.67</v>
      </c>
      <c r="H16" s="32">
        <v>91.11</v>
      </c>
      <c r="I16" s="32">
        <v>100</v>
      </c>
      <c r="L16"/>
    </row>
    <row r="17" spans="1:12" ht="18" customHeight="1">
      <c r="A17" s="37" t="s">
        <v>60</v>
      </c>
      <c r="B17" s="31">
        <v>3</v>
      </c>
      <c r="C17" s="31">
        <v>20141284</v>
      </c>
      <c r="D17" s="33" t="s">
        <v>63</v>
      </c>
      <c r="E17" s="32">
        <v>71.260000000000005</v>
      </c>
      <c r="F17" s="32">
        <v>67.73</v>
      </c>
      <c r="G17" s="32">
        <v>100</v>
      </c>
      <c r="H17" s="32">
        <v>98.89</v>
      </c>
      <c r="I17" s="32">
        <v>100</v>
      </c>
      <c r="L17"/>
    </row>
    <row r="19" spans="1:12" s="120" customFormat="1" ht="30" customHeight="1"/>
    <row r="20" spans="1:12" s="126" customFormat="1" ht="18.5" customHeight="1"/>
  </sheetData>
  <mergeCells count="1">
    <mergeCell ref="O2:Q3"/>
  </mergeCells>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E4AF-BB8A-48A1-98B2-5BD46EA42C25}">
  <sheetPr codeName="Sheet4"/>
  <dimension ref="A3:P35"/>
  <sheetViews>
    <sheetView workbookViewId="0">
      <selection activeCell="H23" sqref="H23"/>
    </sheetView>
  </sheetViews>
  <sheetFormatPr baseColWidth="10" defaultColWidth="8.83203125" defaultRowHeight="18" customHeight="1"/>
  <cols>
    <col min="1" max="1" width="13" style="34" bestFit="1" customWidth="1"/>
    <col min="2" max="10" width="8.83203125" style="34"/>
    <col min="11" max="11" width="13" style="34" bestFit="1" customWidth="1"/>
    <col min="12" max="16384" width="8.83203125" style="34"/>
  </cols>
  <sheetData>
    <row r="3" spans="1:16" ht="18" customHeight="1">
      <c r="A3" s="35" t="s">
        <v>31</v>
      </c>
      <c r="B3" s="35" t="s">
        <v>32</v>
      </c>
      <c r="C3" s="35" t="s">
        <v>33</v>
      </c>
      <c r="D3" s="35" t="s">
        <v>34</v>
      </c>
      <c r="E3" s="36" t="s">
        <v>35</v>
      </c>
      <c r="F3" s="36" t="s">
        <v>36</v>
      </c>
      <c r="G3" s="36" t="s">
        <v>37</v>
      </c>
      <c r="H3" s="36" t="s">
        <v>38</v>
      </c>
      <c r="I3" s="36" t="s">
        <v>39</v>
      </c>
      <c r="K3" s="36" t="s">
        <v>64</v>
      </c>
      <c r="L3" s="36" t="s">
        <v>35</v>
      </c>
      <c r="M3" s="36" t="s">
        <v>36</v>
      </c>
      <c r="N3" s="36" t="s">
        <v>37</v>
      </c>
      <c r="O3" s="36" t="s">
        <v>38</v>
      </c>
      <c r="P3" s="36" t="s">
        <v>39</v>
      </c>
    </row>
    <row r="4" spans="1:16" ht="18" customHeight="1">
      <c r="A4" s="37" t="s">
        <v>40</v>
      </c>
      <c r="B4" s="31">
        <v>2</v>
      </c>
      <c r="C4" s="31">
        <v>20152965</v>
      </c>
      <c r="D4" s="33" t="s">
        <v>41</v>
      </c>
      <c r="E4" s="32">
        <v>52.11</v>
      </c>
      <c r="F4" s="32">
        <v>46.82</v>
      </c>
      <c r="G4" s="32">
        <v>44.44</v>
      </c>
      <c r="H4" s="32">
        <v>83.33</v>
      </c>
      <c r="I4" s="32">
        <v>50</v>
      </c>
      <c r="K4" s="38" t="s">
        <v>40</v>
      </c>
      <c r="L4" s="39">
        <f t="shared" ref="L4:P11" si="0">AVERAGEIFS(INDEX($E$4:$I$18, , MATCH(L$3, $E$3:$I$3, 0)), $A$4:$A$18, $K4)</f>
        <v>60.54</v>
      </c>
      <c r="M4" s="39">
        <f t="shared" si="0"/>
        <v>61.819999999999993</v>
      </c>
      <c r="N4" s="39">
        <f t="shared" si="0"/>
        <v>72.22</v>
      </c>
      <c r="O4" s="39">
        <f t="shared" si="0"/>
        <v>91.664999999999992</v>
      </c>
      <c r="P4" s="39">
        <f t="shared" si="0"/>
        <v>75</v>
      </c>
    </row>
    <row r="5" spans="1:16" ht="18" customHeight="1">
      <c r="A5" s="37" t="s">
        <v>42</v>
      </c>
      <c r="B5" s="31">
        <v>3</v>
      </c>
      <c r="C5" s="31">
        <v>20161951</v>
      </c>
      <c r="D5" s="33" t="s">
        <v>43</v>
      </c>
      <c r="E5" s="32">
        <v>55.94</v>
      </c>
      <c r="F5" s="32">
        <v>57.27</v>
      </c>
      <c r="G5" s="32">
        <v>100</v>
      </c>
      <c r="H5" s="32">
        <v>95.56</v>
      </c>
      <c r="I5" s="32">
        <v>100</v>
      </c>
      <c r="K5" s="38" t="s">
        <v>42</v>
      </c>
      <c r="L5" s="39">
        <f t="shared" si="0"/>
        <v>55.94</v>
      </c>
      <c r="M5" s="39">
        <f t="shared" si="0"/>
        <v>57.27</v>
      </c>
      <c r="N5" s="39">
        <f t="shared" si="0"/>
        <v>100</v>
      </c>
      <c r="O5" s="39">
        <f t="shared" si="0"/>
        <v>95.56</v>
      </c>
      <c r="P5" s="39">
        <f t="shared" si="0"/>
        <v>100</v>
      </c>
    </row>
    <row r="6" spans="1:16" ht="18" customHeight="1">
      <c r="A6" s="37" t="s">
        <v>44</v>
      </c>
      <c r="B6" s="31">
        <v>3</v>
      </c>
      <c r="C6" s="31">
        <v>20151099</v>
      </c>
      <c r="D6" s="33" t="s">
        <v>45</v>
      </c>
      <c r="E6" s="32">
        <v>59</v>
      </c>
      <c r="F6" s="32">
        <v>58.18</v>
      </c>
      <c r="G6" s="32">
        <v>100</v>
      </c>
      <c r="H6" s="32">
        <v>100</v>
      </c>
      <c r="I6" s="32">
        <v>100</v>
      </c>
      <c r="K6" s="38" t="s">
        <v>44</v>
      </c>
      <c r="L6" s="39">
        <f t="shared" si="0"/>
        <v>55.36</v>
      </c>
      <c r="M6" s="39">
        <f t="shared" si="0"/>
        <v>55.225000000000001</v>
      </c>
      <c r="N6" s="39">
        <f t="shared" si="0"/>
        <v>100</v>
      </c>
      <c r="O6" s="39">
        <f t="shared" si="0"/>
        <v>97.22</v>
      </c>
      <c r="P6" s="39">
        <f t="shared" si="0"/>
        <v>100</v>
      </c>
    </row>
    <row r="7" spans="1:16" ht="18" customHeight="1">
      <c r="A7" s="37" t="s">
        <v>46</v>
      </c>
      <c r="B7" s="31">
        <v>4</v>
      </c>
      <c r="C7" s="31">
        <v>20121583</v>
      </c>
      <c r="D7" s="33" t="s">
        <v>47</v>
      </c>
      <c r="E7" s="32">
        <v>19.920000000000002</v>
      </c>
      <c r="F7" s="32">
        <v>32.270000000000003</v>
      </c>
      <c r="G7" s="32">
        <v>33.33</v>
      </c>
      <c r="H7" s="32">
        <v>74.44</v>
      </c>
      <c r="I7" s="32">
        <v>50</v>
      </c>
      <c r="K7" s="38" t="s">
        <v>46</v>
      </c>
      <c r="L7" s="39">
        <f t="shared" si="0"/>
        <v>54.594999999999999</v>
      </c>
      <c r="M7" s="39">
        <f t="shared" si="0"/>
        <v>51.59</v>
      </c>
      <c r="N7" s="39">
        <f t="shared" si="0"/>
        <v>66.664999999999992</v>
      </c>
      <c r="O7" s="39">
        <f t="shared" si="0"/>
        <v>87.22</v>
      </c>
      <c r="P7" s="39">
        <f t="shared" si="0"/>
        <v>75</v>
      </c>
    </row>
    <row r="8" spans="1:16" ht="18" customHeight="1">
      <c r="A8" s="37" t="s">
        <v>40</v>
      </c>
      <c r="B8" s="31">
        <v>3</v>
      </c>
      <c r="C8" s="31">
        <v>20165127</v>
      </c>
      <c r="D8" s="33" t="s">
        <v>48</v>
      </c>
      <c r="E8" s="32">
        <v>68.97</v>
      </c>
      <c r="F8" s="32">
        <v>76.819999999999993</v>
      </c>
      <c r="G8" s="32">
        <v>100</v>
      </c>
      <c r="H8" s="32">
        <v>100</v>
      </c>
      <c r="I8" s="32">
        <v>100</v>
      </c>
      <c r="K8" s="38" t="s">
        <v>50</v>
      </c>
      <c r="L8" s="39">
        <f t="shared" si="0"/>
        <v>89.465000000000003</v>
      </c>
      <c r="M8" s="39">
        <f t="shared" si="0"/>
        <v>79.775000000000006</v>
      </c>
      <c r="N8" s="39">
        <f t="shared" si="0"/>
        <v>100</v>
      </c>
      <c r="O8" s="39">
        <f t="shared" si="0"/>
        <v>99.444999999999993</v>
      </c>
      <c r="P8" s="39">
        <f t="shared" si="0"/>
        <v>100</v>
      </c>
    </row>
    <row r="9" spans="1:16" ht="18" customHeight="1">
      <c r="A9" s="37" t="s">
        <v>44</v>
      </c>
      <c r="B9" s="31">
        <v>3</v>
      </c>
      <c r="C9" s="31">
        <v>20165203</v>
      </c>
      <c r="D9" s="33" t="s">
        <v>49</v>
      </c>
      <c r="E9" s="32">
        <v>51.72</v>
      </c>
      <c r="F9" s="32">
        <v>52.27</v>
      </c>
      <c r="G9" s="32">
        <v>100</v>
      </c>
      <c r="H9" s="32">
        <v>94.44</v>
      </c>
      <c r="I9" s="32">
        <v>100</v>
      </c>
      <c r="K9" s="38" t="s">
        <v>52</v>
      </c>
      <c r="L9" s="39">
        <f t="shared" si="0"/>
        <v>70.69</v>
      </c>
      <c r="M9" s="39">
        <f t="shared" si="0"/>
        <v>68.864999999999995</v>
      </c>
      <c r="N9" s="39">
        <f t="shared" si="0"/>
        <v>100</v>
      </c>
      <c r="O9" s="39">
        <f t="shared" si="0"/>
        <v>93.89</v>
      </c>
      <c r="P9" s="39">
        <f t="shared" si="0"/>
        <v>100</v>
      </c>
    </row>
    <row r="10" spans="1:16" ht="18" customHeight="1">
      <c r="A10" s="37" t="s">
        <v>50</v>
      </c>
      <c r="B10" s="31">
        <v>4</v>
      </c>
      <c r="C10" s="31">
        <v>20122189</v>
      </c>
      <c r="D10" s="33" t="s">
        <v>51</v>
      </c>
      <c r="E10" s="32">
        <v>93.87</v>
      </c>
      <c r="F10" s="32">
        <v>84.55</v>
      </c>
      <c r="G10" s="32">
        <v>100</v>
      </c>
      <c r="H10" s="32">
        <v>100</v>
      </c>
      <c r="I10" s="32">
        <v>100</v>
      </c>
      <c r="K10" s="38" t="s">
        <v>56</v>
      </c>
      <c r="L10" s="39">
        <f t="shared" si="0"/>
        <v>58.75</v>
      </c>
      <c r="M10" s="39">
        <f t="shared" si="0"/>
        <v>39.546666666666667</v>
      </c>
      <c r="N10" s="39">
        <f t="shared" si="0"/>
        <v>81.483333333333334</v>
      </c>
      <c r="O10" s="39">
        <f t="shared" si="0"/>
        <v>91.483333333333334</v>
      </c>
      <c r="P10" s="39">
        <f t="shared" si="0"/>
        <v>100</v>
      </c>
    </row>
    <row r="11" spans="1:16" ht="18" customHeight="1">
      <c r="A11" s="37" t="s">
        <v>52</v>
      </c>
      <c r="B11" s="31">
        <v>3</v>
      </c>
      <c r="C11" s="31">
        <v>20141243</v>
      </c>
      <c r="D11" s="33" t="s">
        <v>53</v>
      </c>
      <c r="E11" s="32">
        <v>86.59</v>
      </c>
      <c r="F11" s="32">
        <v>76.819999999999993</v>
      </c>
      <c r="G11" s="32">
        <v>100</v>
      </c>
      <c r="H11" s="32">
        <v>97.78</v>
      </c>
      <c r="I11" s="32">
        <v>100</v>
      </c>
      <c r="K11" s="38" t="s">
        <v>60</v>
      </c>
      <c r="L11" s="39">
        <f t="shared" si="0"/>
        <v>55.94</v>
      </c>
      <c r="M11" s="39">
        <f t="shared" si="0"/>
        <v>41.36</v>
      </c>
      <c r="N11" s="39">
        <f t="shared" si="0"/>
        <v>100</v>
      </c>
      <c r="O11" s="39">
        <f t="shared" si="0"/>
        <v>100</v>
      </c>
      <c r="P11" s="39">
        <f t="shared" si="0"/>
        <v>100</v>
      </c>
    </row>
    <row r="12" spans="1:16" ht="18" customHeight="1">
      <c r="A12" s="37" t="s">
        <v>52</v>
      </c>
      <c r="B12" s="31">
        <v>2</v>
      </c>
      <c r="C12" s="31">
        <v>20153081</v>
      </c>
      <c r="D12" s="33" t="s">
        <v>54</v>
      </c>
      <c r="E12" s="32">
        <v>54.79</v>
      </c>
      <c r="F12" s="32">
        <v>60.91</v>
      </c>
      <c r="G12" s="32">
        <v>100</v>
      </c>
      <c r="H12" s="32">
        <v>90</v>
      </c>
      <c r="I12" s="32">
        <v>100</v>
      </c>
      <c r="K12"/>
    </row>
    <row r="13" spans="1:16" ht="18" customHeight="1">
      <c r="A13" s="37" t="s">
        <v>50</v>
      </c>
      <c r="B13" s="31">
        <v>3</v>
      </c>
      <c r="C13" s="31">
        <v>20141255</v>
      </c>
      <c r="D13" s="33" t="s">
        <v>55</v>
      </c>
      <c r="E13" s="32">
        <v>85.06</v>
      </c>
      <c r="F13" s="32">
        <v>75</v>
      </c>
      <c r="G13" s="32">
        <v>100</v>
      </c>
      <c r="H13" s="32">
        <v>98.89</v>
      </c>
      <c r="I13" s="32">
        <v>100</v>
      </c>
      <c r="K13"/>
    </row>
    <row r="14" spans="1:16" ht="18" customHeight="1">
      <c r="A14" s="37" t="s">
        <v>56</v>
      </c>
      <c r="B14" s="31">
        <v>1</v>
      </c>
      <c r="C14" s="31">
        <v>20142967</v>
      </c>
      <c r="D14" s="33" t="s">
        <v>57</v>
      </c>
      <c r="E14" s="32">
        <v>55.56</v>
      </c>
      <c r="F14" s="32">
        <v>19.55</v>
      </c>
      <c r="G14" s="32">
        <v>88.89</v>
      </c>
      <c r="H14" s="32">
        <v>96.67</v>
      </c>
      <c r="I14" s="32">
        <v>100</v>
      </c>
      <c r="K14" s="40"/>
      <c r="L14" s="41"/>
      <c r="M14" s="42"/>
    </row>
    <row r="15" spans="1:16" ht="18" customHeight="1">
      <c r="A15" s="37" t="s">
        <v>46</v>
      </c>
      <c r="B15" s="31">
        <v>3</v>
      </c>
      <c r="C15" s="31">
        <v>20121418</v>
      </c>
      <c r="D15" s="33" t="s">
        <v>58</v>
      </c>
      <c r="E15" s="32">
        <v>89.27</v>
      </c>
      <c r="F15" s="32">
        <v>70.91</v>
      </c>
      <c r="G15" s="32">
        <v>100</v>
      </c>
      <c r="H15" s="32">
        <v>100</v>
      </c>
      <c r="I15" s="32">
        <v>100</v>
      </c>
      <c r="K15" s="43"/>
      <c r="L15" s="44"/>
      <c r="M15" s="45"/>
    </row>
    <row r="16" spans="1:16" ht="18" customHeight="1">
      <c r="A16" s="37" t="s">
        <v>56</v>
      </c>
      <c r="B16" s="31">
        <v>1</v>
      </c>
      <c r="C16" s="31">
        <v>20142986</v>
      </c>
      <c r="D16" s="33" t="s">
        <v>59</v>
      </c>
      <c r="E16" s="32">
        <v>68.58</v>
      </c>
      <c r="F16" s="32">
        <v>75.45</v>
      </c>
      <c r="G16" s="32">
        <v>88.89</v>
      </c>
      <c r="H16" s="32">
        <v>86.67</v>
      </c>
      <c r="I16" s="32">
        <v>100</v>
      </c>
      <c r="K16" s="43"/>
      <c r="L16" s="44"/>
      <c r="M16" s="45"/>
    </row>
    <row r="17" spans="1:13" ht="18" customHeight="1">
      <c r="A17" s="37" t="s">
        <v>60</v>
      </c>
      <c r="B17" s="31">
        <v>1</v>
      </c>
      <c r="C17" s="31">
        <v>20171170</v>
      </c>
      <c r="D17" s="33" t="s">
        <v>61</v>
      </c>
      <c r="E17" s="32">
        <v>55.94</v>
      </c>
      <c r="F17" s="32">
        <v>41.36</v>
      </c>
      <c r="G17" s="32">
        <v>100</v>
      </c>
      <c r="H17" s="32">
        <v>100</v>
      </c>
      <c r="I17" s="32">
        <v>100</v>
      </c>
      <c r="K17" s="43"/>
      <c r="L17" s="44"/>
      <c r="M17" s="45"/>
    </row>
    <row r="18" spans="1:13" ht="18" customHeight="1">
      <c r="A18" s="37" t="s">
        <v>56</v>
      </c>
      <c r="B18" s="31">
        <v>4</v>
      </c>
      <c r="C18" s="31">
        <v>20121274</v>
      </c>
      <c r="D18" s="33" t="s">
        <v>62</v>
      </c>
      <c r="E18" s="32">
        <v>52.11</v>
      </c>
      <c r="F18" s="32">
        <v>23.64</v>
      </c>
      <c r="G18" s="32">
        <v>66.67</v>
      </c>
      <c r="H18" s="32">
        <v>91.11</v>
      </c>
      <c r="I18" s="32">
        <v>100</v>
      </c>
      <c r="K18" s="43"/>
      <c r="L18" s="44"/>
      <c r="M18" s="45"/>
    </row>
    <row r="19" spans="1:13" ht="18" customHeight="1">
      <c r="A19" s="37" t="s">
        <v>60</v>
      </c>
      <c r="B19" s="31">
        <v>3</v>
      </c>
      <c r="C19" s="31">
        <v>20141284</v>
      </c>
      <c r="D19" s="33" t="s">
        <v>63</v>
      </c>
      <c r="E19" s="32">
        <v>71.260000000000005</v>
      </c>
      <c r="F19" s="32">
        <v>67.73</v>
      </c>
      <c r="G19" s="32">
        <v>100</v>
      </c>
      <c r="H19" s="32">
        <v>98.89</v>
      </c>
      <c r="I19" s="32">
        <v>100</v>
      </c>
      <c r="K19" s="43"/>
      <c r="L19" s="44"/>
      <c r="M19" s="45"/>
    </row>
    <row r="20" spans="1:13" ht="18" customHeight="1">
      <c r="K20" s="43"/>
      <c r="L20" s="44"/>
      <c r="M20" s="45"/>
    </row>
    <row r="21" spans="1:13" ht="18" customHeight="1">
      <c r="K21" s="43"/>
      <c r="L21" s="44"/>
      <c r="M21" s="45"/>
    </row>
    <row r="22" spans="1:13" ht="18" customHeight="1">
      <c r="K22" s="43"/>
      <c r="L22" s="44"/>
      <c r="M22" s="45"/>
    </row>
    <row r="23" spans="1:13" ht="18" customHeight="1">
      <c r="K23" s="43"/>
      <c r="L23" s="44"/>
      <c r="M23" s="45"/>
    </row>
    <row r="24" spans="1:13" ht="18" customHeight="1">
      <c r="K24" s="43"/>
      <c r="L24" s="44"/>
      <c r="M24" s="45"/>
    </row>
    <row r="25" spans="1:13" ht="18" customHeight="1">
      <c r="K25" s="43"/>
      <c r="L25" s="44"/>
      <c r="M25" s="45"/>
    </row>
    <row r="26" spans="1:13" ht="18" customHeight="1">
      <c r="K26" s="43"/>
      <c r="L26" s="44"/>
      <c r="M26" s="45"/>
    </row>
    <row r="27" spans="1:13" ht="18" customHeight="1">
      <c r="K27" s="43"/>
      <c r="L27" s="44"/>
      <c r="M27" s="45"/>
    </row>
    <row r="28" spans="1:13" ht="18" customHeight="1">
      <c r="K28" s="43"/>
      <c r="L28" s="44"/>
      <c r="M28" s="45"/>
    </row>
    <row r="29" spans="1:13" ht="18" customHeight="1">
      <c r="K29" s="43"/>
      <c r="L29" s="44"/>
      <c r="M29" s="45"/>
    </row>
    <row r="30" spans="1:13" ht="18" customHeight="1">
      <c r="K30" s="43"/>
      <c r="L30" s="44"/>
      <c r="M30" s="45"/>
    </row>
    <row r="31" spans="1:13" ht="18" customHeight="1">
      <c r="K31" s="46"/>
      <c r="L31" s="47"/>
      <c r="M31" s="48"/>
    </row>
    <row r="34" s="120" customFormat="1" ht="30" customHeight="1"/>
    <row r="35" s="126" customFormat="1" ht="5.5" customHeight="1"/>
  </sheetData>
  <phoneticPr fontId="3"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0DC0-7EA0-4553-B123-D498F0BD4ECF}">
  <sheetPr codeName="Sheet5"/>
  <dimension ref="A1:O103"/>
  <sheetViews>
    <sheetView zoomScale="156" workbookViewId="0">
      <selection activeCell="C33" sqref="C33"/>
    </sheetView>
  </sheetViews>
  <sheetFormatPr baseColWidth="10" defaultColWidth="8.83203125" defaultRowHeight="14"/>
  <cols>
    <col min="1" max="1" width="13.33203125" customWidth="1"/>
    <col min="2" max="2" width="23.1640625" bestFit="1" customWidth="1"/>
    <col min="3" max="9" width="13.33203125" customWidth="1"/>
    <col min="10" max="10" width="19.33203125" customWidth="1"/>
    <col min="11" max="11" width="14.5" customWidth="1"/>
    <col min="12" max="12" width="13" bestFit="1" customWidth="1"/>
    <col min="13" max="13" width="14.5" customWidth="1"/>
    <col min="14" max="14" width="15.33203125" customWidth="1"/>
    <col min="15" max="15" width="15.5" customWidth="1"/>
  </cols>
  <sheetData>
    <row r="1" spans="1:15" s="122" customFormat="1" ht="30" customHeight="1"/>
    <row r="2" spans="1:15" s="128" customFormat="1" ht="5.5" customHeight="1"/>
    <row r="3" spans="1:15" ht="17">
      <c r="A3" s="50" t="s">
        <v>69</v>
      </c>
      <c r="B3" s="50" t="s">
        <v>70</v>
      </c>
      <c r="C3" s="50" t="s">
        <v>71</v>
      </c>
      <c r="D3" s="50" t="s">
        <v>72</v>
      </c>
      <c r="E3" s="50" t="s">
        <v>73</v>
      </c>
      <c r="F3" s="50" t="s">
        <v>74</v>
      </c>
      <c r="G3" s="50" t="s">
        <v>75</v>
      </c>
      <c r="H3" s="50" t="s">
        <v>76</v>
      </c>
      <c r="I3" s="50" t="s">
        <v>77</v>
      </c>
      <c r="J3" s="50" t="s">
        <v>78</v>
      </c>
      <c r="K3" s="50" t="s">
        <v>759</v>
      </c>
      <c r="L3" s="50" t="s">
        <v>760</v>
      </c>
      <c r="M3" s="50" t="s">
        <v>761</v>
      </c>
      <c r="N3" s="50" t="s">
        <v>762</v>
      </c>
      <c r="O3" s="50" t="s">
        <v>763</v>
      </c>
    </row>
    <row r="4" spans="1:15" ht="15">
      <c r="A4" s="51" t="s">
        <v>79</v>
      </c>
      <c r="B4" s="51" t="s">
        <v>80</v>
      </c>
      <c r="C4" s="51" t="s">
        <v>81</v>
      </c>
      <c r="D4" s="51" t="s">
        <v>82</v>
      </c>
      <c r="E4" s="51" t="s">
        <v>83</v>
      </c>
      <c r="F4" s="51" t="s">
        <v>84</v>
      </c>
      <c r="G4" s="51" t="s">
        <v>85</v>
      </c>
      <c r="H4" s="51" t="s">
        <v>86</v>
      </c>
      <c r="I4" s="51" t="s">
        <v>87</v>
      </c>
      <c r="J4" s="51" t="s">
        <v>88</v>
      </c>
      <c r="K4" s="59"/>
      <c r="L4" s="59"/>
      <c r="M4" s="59"/>
      <c r="N4" s="59"/>
      <c r="O4" s="59"/>
    </row>
    <row r="5" spans="1:15" ht="15">
      <c r="A5" s="51" t="s">
        <v>89</v>
      </c>
      <c r="B5" s="51" t="s">
        <v>90</v>
      </c>
      <c r="C5" s="51" t="s">
        <v>91</v>
      </c>
      <c r="D5" s="51" t="s">
        <v>92</v>
      </c>
      <c r="E5" s="51" t="s">
        <v>68</v>
      </c>
      <c r="F5" s="51" t="s">
        <v>93</v>
      </c>
      <c r="G5" s="51" t="s">
        <v>94</v>
      </c>
      <c r="H5" s="51" t="s">
        <v>95</v>
      </c>
      <c r="I5" s="51" t="s">
        <v>96</v>
      </c>
      <c r="J5" s="51" t="s">
        <v>97</v>
      </c>
      <c r="K5" s="59"/>
      <c r="L5" s="59"/>
      <c r="M5" s="59"/>
      <c r="N5" s="59"/>
      <c r="O5" s="59"/>
    </row>
    <row r="6" spans="1:15" ht="15">
      <c r="A6" s="51" t="s">
        <v>79</v>
      </c>
      <c r="B6" s="51" t="s">
        <v>98</v>
      </c>
      <c r="C6" s="51" t="s">
        <v>99</v>
      </c>
      <c r="D6" s="51" t="s">
        <v>100</v>
      </c>
      <c r="E6" s="51" t="s">
        <v>83</v>
      </c>
      <c r="F6" s="51" t="s">
        <v>101</v>
      </c>
      <c r="G6" s="51" t="s">
        <v>102</v>
      </c>
      <c r="H6" s="51" t="s">
        <v>103</v>
      </c>
      <c r="I6" s="51" t="s">
        <v>87</v>
      </c>
      <c r="J6" s="51" t="s">
        <v>104</v>
      </c>
      <c r="K6" s="59"/>
      <c r="L6" s="59"/>
      <c r="M6" s="59"/>
      <c r="N6" s="59"/>
      <c r="O6" s="59"/>
    </row>
    <row r="7" spans="1:15" ht="15">
      <c r="A7" s="51" t="s">
        <v>89</v>
      </c>
      <c r="B7" s="51" t="s">
        <v>105</v>
      </c>
      <c r="C7" s="51" t="s">
        <v>106</v>
      </c>
      <c r="D7" s="51" t="s">
        <v>107</v>
      </c>
      <c r="E7" s="51" t="s">
        <v>108</v>
      </c>
      <c r="F7" s="51" t="s">
        <v>109</v>
      </c>
      <c r="G7" s="51" t="s">
        <v>110</v>
      </c>
      <c r="H7" s="51" t="s">
        <v>111</v>
      </c>
      <c r="I7" s="51" t="s">
        <v>87</v>
      </c>
      <c r="J7" s="51" t="s">
        <v>112</v>
      </c>
      <c r="K7" s="59"/>
      <c r="L7" s="59"/>
      <c r="M7" s="59"/>
      <c r="N7" s="59"/>
      <c r="O7" s="59"/>
    </row>
    <row r="8" spans="1:15" ht="15">
      <c r="A8" s="51" t="s">
        <v>113</v>
      </c>
      <c r="B8" s="51" t="s">
        <v>114</v>
      </c>
      <c r="C8" s="51" t="s">
        <v>115</v>
      </c>
      <c r="D8" s="51" t="s">
        <v>116</v>
      </c>
      <c r="E8" s="51" t="s">
        <v>117</v>
      </c>
      <c r="F8" s="51" t="s">
        <v>118</v>
      </c>
      <c r="G8" s="51" t="s">
        <v>119</v>
      </c>
      <c r="H8" s="51" t="s">
        <v>120</v>
      </c>
      <c r="I8" s="51" t="s">
        <v>121</v>
      </c>
      <c r="J8" s="51" t="s">
        <v>122</v>
      </c>
      <c r="K8" s="59"/>
      <c r="L8" s="59"/>
      <c r="M8" s="59"/>
      <c r="N8" s="59"/>
      <c r="O8" s="59"/>
    </row>
    <row r="9" spans="1:15" ht="15">
      <c r="A9" s="51" t="s">
        <v>113</v>
      </c>
      <c r="B9" s="51" t="s">
        <v>123</v>
      </c>
      <c r="C9" s="51" t="s">
        <v>124</v>
      </c>
      <c r="D9" s="51" t="s">
        <v>125</v>
      </c>
      <c r="E9" s="51" t="s">
        <v>126</v>
      </c>
      <c r="F9" s="51" t="s">
        <v>127</v>
      </c>
      <c r="G9" s="51" t="s">
        <v>128</v>
      </c>
      <c r="H9" s="51" t="s">
        <v>129</v>
      </c>
      <c r="I9" s="51" t="s">
        <v>130</v>
      </c>
      <c r="J9" s="51" t="s">
        <v>131</v>
      </c>
      <c r="K9" s="59"/>
      <c r="L9" s="59"/>
      <c r="M9" s="59"/>
      <c r="N9" s="59"/>
      <c r="O9" s="59"/>
    </row>
    <row r="10" spans="1:15" ht="15">
      <c r="A10" s="51" t="s">
        <v>132</v>
      </c>
      <c r="B10" s="51" t="s">
        <v>133</v>
      </c>
      <c r="C10" s="51" t="s">
        <v>134</v>
      </c>
      <c r="D10" s="51" t="s">
        <v>135</v>
      </c>
      <c r="E10" s="51" t="s">
        <v>117</v>
      </c>
      <c r="F10" s="51" t="s">
        <v>136</v>
      </c>
      <c r="G10" s="51" t="s">
        <v>137</v>
      </c>
      <c r="H10" s="51" t="s">
        <v>138</v>
      </c>
      <c r="I10" s="51" t="s">
        <v>130</v>
      </c>
      <c r="J10" s="51" t="s">
        <v>139</v>
      </c>
      <c r="K10" s="59"/>
      <c r="L10" s="59"/>
      <c r="M10" s="59"/>
      <c r="N10" s="59"/>
      <c r="O10" s="59"/>
    </row>
    <row r="11" spans="1:15" ht="15">
      <c r="A11" s="51" t="s">
        <v>140</v>
      </c>
      <c r="B11" s="51" t="s">
        <v>141</v>
      </c>
      <c r="C11" s="51" t="s">
        <v>142</v>
      </c>
      <c r="D11" s="51" t="s">
        <v>143</v>
      </c>
      <c r="E11" s="51" t="s">
        <v>68</v>
      </c>
      <c r="F11" s="51" t="s">
        <v>144</v>
      </c>
      <c r="G11" s="51" t="s">
        <v>145</v>
      </c>
      <c r="H11" s="51" t="s">
        <v>146</v>
      </c>
      <c r="I11" s="51" t="s">
        <v>130</v>
      </c>
      <c r="J11" s="51" t="s">
        <v>147</v>
      </c>
      <c r="K11" s="59"/>
      <c r="L11" s="59"/>
      <c r="M11" s="59"/>
      <c r="N11" s="59"/>
      <c r="O11" s="59"/>
    </row>
    <row r="12" spans="1:15" ht="15">
      <c r="A12" s="51" t="s">
        <v>148</v>
      </c>
      <c r="B12" s="51" t="s">
        <v>149</v>
      </c>
      <c r="C12" s="51" t="s">
        <v>150</v>
      </c>
      <c r="D12" s="51" t="s">
        <v>151</v>
      </c>
      <c r="E12" s="51" t="s">
        <v>126</v>
      </c>
      <c r="F12" s="51" t="s">
        <v>152</v>
      </c>
      <c r="G12" s="51" t="s">
        <v>153</v>
      </c>
      <c r="H12" s="51" t="s">
        <v>154</v>
      </c>
      <c r="I12" s="51" t="s">
        <v>155</v>
      </c>
      <c r="J12" s="51" t="s">
        <v>156</v>
      </c>
      <c r="K12" s="59"/>
      <c r="L12" s="59"/>
      <c r="M12" s="59"/>
      <c r="N12" s="59"/>
      <c r="O12" s="59"/>
    </row>
    <row r="13" spans="1:15" ht="15">
      <c r="A13" s="51" t="s">
        <v>79</v>
      </c>
      <c r="B13" s="51" t="s">
        <v>157</v>
      </c>
      <c r="C13" s="51" t="s">
        <v>158</v>
      </c>
      <c r="D13" s="51" t="s">
        <v>159</v>
      </c>
      <c r="E13" s="51" t="s">
        <v>117</v>
      </c>
      <c r="F13" s="51" t="s">
        <v>160</v>
      </c>
      <c r="G13" s="51" t="s">
        <v>161</v>
      </c>
      <c r="H13" s="51" t="s">
        <v>162</v>
      </c>
      <c r="I13" s="51" t="s">
        <v>130</v>
      </c>
      <c r="J13" s="51" t="s">
        <v>163</v>
      </c>
      <c r="K13" s="59"/>
      <c r="L13" s="59"/>
      <c r="M13" s="59"/>
      <c r="N13" s="59"/>
      <c r="O13" s="59"/>
    </row>
    <row r="14" spans="1:15" ht="15">
      <c r="A14" s="51" t="s">
        <v>164</v>
      </c>
      <c r="B14" s="51" t="s">
        <v>165</v>
      </c>
      <c r="C14" s="51" t="s">
        <v>166</v>
      </c>
      <c r="D14" s="51" t="s">
        <v>167</v>
      </c>
      <c r="E14" s="51" t="s">
        <v>126</v>
      </c>
      <c r="F14" s="51" t="s">
        <v>168</v>
      </c>
      <c r="G14" s="51" t="s">
        <v>169</v>
      </c>
      <c r="H14" s="51" t="s">
        <v>170</v>
      </c>
      <c r="I14" s="51" t="s">
        <v>130</v>
      </c>
      <c r="J14" s="51" t="s">
        <v>171</v>
      </c>
      <c r="K14" s="59"/>
      <c r="L14" s="59"/>
      <c r="M14" s="59"/>
      <c r="N14" s="59"/>
      <c r="O14" s="59"/>
    </row>
    <row r="15" spans="1:15" ht="15">
      <c r="A15" s="51" t="s">
        <v>132</v>
      </c>
      <c r="B15" s="51" t="s">
        <v>172</v>
      </c>
      <c r="C15" s="51" t="s">
        <v>173</v>
      </c>
      <c r="D15" s="51" t="s">
        <v>174</v>
      </c>
      <c r="E15" s="51" t="s">
        <v>175</v>
      </c>
      <c r="F15" s="51" t="s">
        <v>176</v>
      </c>
      <c r="G15" s="51" t="s">
        <v>177</v>
      </c>
      <c r="H15" s="51" t="s">
        <v>178</v>
      </c>
      <c r="I15" s="51" t="s">
        <v>121</v>
      </c>
      <c r="J15" s="51" t="s">
        <v>179</v>
      </c>
      <c r="K15" s="59"/>
      <c r="L15" s="59"/>
      <c r="M15" s="59"/>
      <c r="N15" s="59"/>
      <c r="O15" s="59"/>
    </row>
    <row r="16" spans="1:15" ht="15">
      <c r="A16" s="51" t="s">
        <v>164</v>
      </c>
      <c r="B16" s="51" t="s">
        <v>180</v>
      </c>
      <c r="C16" s="51" t="s">
        <v>181</v>
      </c>
      <c r="D16" s="51" t="s">
        <v>182</v>
      </c>
      <c r="E16" s="51" t="s">
        <v>175</v>
      </c>
      <c r="F16" s="51" t="s">
        <v>183</v>
      </c>
      <c r="G16" s="51" t="s">
        <v>184</v>
      </c>
      <c r="H16" s="51" t="s">
        <v>185</v>
      </c>
      <c r="I16" s="51" t="s">
        <v>96</v>
      </c>
      <c r="J16" s="51" t="s">
        <v>186</v>
      </c>
      <c r="K16" s="59"/>
      <c r="L16" s="59"/>
      <c r="M16" s="59"/>
      <c r="N16" s="59"/>
      <c r="O16" s="59"/>
    </row>
    <row r="17" spans="1:15" ht="15">
      <c r="A17" s="51" t="s">
        <v>79</v>
      </c>
      <c r="B17" s="51" t="s">
        <v>172</v>
      </c>
      <c r="C17" s="51" t="s">
        <v>187</v>
      </c>
      <c r="D17" s="51" t="s">
        <v>188</v>
      </c>
      <c r="E17" s="51" t="s">
        <v>83</v>
      </c>
      <c r="F17" s="51" t="s">
        <v>189</v>
      </c>
      <c r="G17" s="51" t="s">
        <v>190</v>
      </c>
      <c r="H17" s="51" t="s">
        <v>191</v>
      </c>
      <c r="I17" s="51" t="s">
        <v>87</v>
      </c>
      <c r="J17" s="51" t="s">
        <v>192</v>
      </c>
      <c r="K17" s="59"/>
      <c r="L17" s="59"/>
      <c r="M17" s="59"/>
      <c r="N17" s="59"/>
      <c r="O17" s="59"/>
    </row>
    <row r="18" spans="1:15" ht="15">
      <c r="A18" s="51" t="s">
        <v>164</v>
      </c>
      <c r="B18" s="51" t="s">
        <v>193</v>
      </c>
      <c r="C18" s="51" t="s">
        <v>194</v>
      </c>
      <c r="D18" s="51" t="s">
        <v>195</v>
      </c>
      <c r="E18" s="51" t="s">
        <v>83</v>
      </c>
      <c r="F18" s="51" t="s">
        <v>196</v>
      </c>
      <c r="G18" s="51" t="s">
        <v>197</v>
      </c>
      <c r="H18" s="51" t="s">
        <v>198</v>
      </c>
      <c r="I18" s="51" t="s">
        <v>130</v>
      </c>
      <c r="J18" s="51" t="s">
        <v>199</v>
      </c>
      <c r="K18" s="59"/>
      <c r="L18" s="59"/>
      <c r="M18" s="59"/>
      <c r="N18" s="59"/>
      <c r="O18" s="59"/>
    </row>
    <row r="19" spans="1:15" ht="15">
      <c r="A19" s="51" t="s">
        <v>200</v>
      </c>
      <c r="B19" s="51" t="s">
        <v>123</v>
      </c>
      <c r="C19" s="51" t="s">
        <v>201</v>
      </c>
      <c r="D19" s="51" t="s">
        <v>202</v>
      </c>
      <c r="E19" s="51" t="s">
        <v>203</v>
      </c>
      <c r="F19" s="51" t="s">
        <v>204</v>
      </c>
      <c r="G19" s="51" t="s">
        <v>205</v>
      </c>
      <c r="H19" s="51" t="s">
        <v>206</v>
      </c>
      <c r="I19" s="51" t="s">
        <v>96</v>
      </c>
      <c r="J19" s="51" t="s">
        <v>207</v>
      </c>
      <c r="K19" s="59"/>
      <c r="L19" s="59"/>
      <c r="M19" s="59"/>
      <c r="N19" s="59"/>
      <c r="O19" s="59"/>
    </row>
    <row r="20" spans="1:15" ht="15">
      <c r="A20" s="51" t="s">
        <v>89</v>
      </c>
      <c r="B20" s="51" t="s">
        <v>193</v>
      </c>
      <c r="C20" s="51" t="s">
        <v>208</v>
      </c>
      <c r="D20" s="51" t="s">
        <v>209</v>
      </c>
      <c r="E20" s="51" t="s">
        <v>108</v>
      </c>
      <c r="F20" s="51" t="s">
        <v>210</v>
      </c>
      <c r="G20" s="51" t="s">
        <v>211</v>
      </c>
      <c r="H20" s="51" t="s">
        <v>212</v>
      </c>
      <c r="I20" s="51" t="s">
        <v>130</v>
      </c>
      <c r="J20" s="51" t="s">
        <v>213</v>
      </c>
      <c r="K20" s="59"/>
      <c r="L20" s="59"/>
      <c r="M20" s="59"/>
      <c r="N20" s="59"/>
      <c r="O20" s="59"/>
    </row>
    <row r="21" spans="1:15" ht="15">
      <c r="A21" s="51" t="s">
        <v>164</v>
      </c>
      <c r="B21" s="51" t="s">
        <v>214</v>
      </c>
      <c r="C21" s="51" t="s">
        <v>215</v>
      </c>
      <c r="D21" s="51" t="s">
        <v>216</v>
      </c>
      <c r="E21" s="51" t="s">
        <v>175</v>
      </c>
      <c r="F21" s="51" t="s">
        <v>217</v>
      </c>
      <c r="G21" s="51" t="s">
        <v>218</v>
      </c>
      <c r="H21" s="51" t="s">
        <v>219</v>
      </c>
      <c r="I21" s="51" t="s">
        <v>121</v>
      </c>
      <c r="J21" s="51" t="s">
        <v>220</v>
      </c>
      <c r="K21" s="59"/>
      <c r="L21" s="59"/>
      <c r="M21" s="59"/>
      <c r="N21" s="59"/>
      <c r="O21" s="59"/>
    </row>
    <row r="22" spans="1:15" ht="15">
      <c r="A22" s="51" t="s">
        <v>200</v>
      </c>
      <c r="B22" s="51" t="s">
        <v>221</v>
      </c>
      <c r="C22" s="51" t="s">
        <v>222</v>
      </c>
      <c r="D22" s="51" t="s">
        <v>223</v>
      </c>
      <c r="E22" s="51" t="s">
        <v>203</v>
      </c>
      <c r="F22" s="51" t="s">
        <v>224</v>
      </c>
      <c r="G22" s="51" t="s">
        <v>225</v>
      </c>
      <c r="H22" s="51" t="s">
        <v>226</v>
      </c>
      <c r="I22" s="51" t="s">
        <v>155</v>
      </c>
      <c r="J22" s="51" t="s">
        <v>227</v>
      </c>
      <c r="K22" s="59"/>
      <c r="L22" s="59"/>
      <c r="M22" s="59"/>
      <c r="N22" s="59"/>
      <c r="O22" s="59"/>
    </row>
    <row r="23" spans="1:15" ht="15">
      <c r="A23" s="51" t="s">
        <v>113</v>
      </c>
      <c r="B23" s="51" t="s">
        <v>133</v>
      </c>
      <c r="C23" s="51" t="s">
        <v>228</v>
      </c>
      <c r="D23" s="51" t="s">
        <v>229</v>
      </c>
      <c r="E23" s="51" t="s">
        <v>117</v>
      </c>
      <c r="F23" s="51" t="s">
        <v>230</v>
      </c>
      <c r="G23" s="51" t="s">
        <v>231</v>
      </c>
      <c r="H23" s="51" t="s">
        <v>232</v>
      </c>
      <c r="I23" s="51" t="s">
        <v>96</v>
      </c>
      <c r="J23" s="51" t="s">
        <v>233</v>
      </c>
      <c r="K23" s="59"/>
      <c r="L23" s="59"/>
      <c r="M23" s="59"/>
      <c r="N23" s="59"/>
      <c r="O23" s="59"/>
    </row>
    <row r="24" spans="1:15" ht="15">
      <c r="A24" s="51" t="s">
        <v>89</v>
      </c>
      <c r="B24" s="51" t="s">
        <v>180</v>
      </c>
      <c r="C24" s="51" t="s">
        <v>234</v>
      </c>
      <c r="D24" s="51" t="s">
        <v>235</v>
      </c>
      <c r="E24" s="51" t="s">
        <v>175</v>
      </c>
      <c r="F24" s="51" t="s">
        <v>236</v>
      </c>
      <c r="G24" s="51" t="s">
        <v>237</v>
      </c>
      <c r="H24" s="51" t="s">
        <v>238</v>
      </c>
      <c r="I24" s="51" t="s">
        <v>121</v>
      </c>
      <c r="J24" s="51" t="s">
        <v>239</v>
      </c>
      <c r="K24" s="59"/>
      <c r="L24" s="59"/>
      <c r="M24" s="59"/>
      <c r="N24" s="59"/>
      <c r="O24" s="59"/>
    </row>
    <row r="25" spans="1:15" ht="15">
      <c r="A25" s="51" t="s">
        <v>79</v>
      </c>
      <c r="B25" s="51" t="s">
        <v>221</v>
      </c>
      <c r="C25" s="51" t="s">
        <v>240</v>
      </c>
      <c r="D25" s="51" t="s">
        <v>241</v>
      </c>
      <c r="E25" s="51" t="s">
        <v>203</v>
      </c>
      <c r="F25" s="51" t="s">
        <v>242</v>
      </c>
      <c r="G25" s="51" t="s">
        <v>243</v>
      </c>
      <c r="H25" s="51" t="s">
        <v>244</v>
      </c>
      <c r="I25" s="51" t="s">
        <v>96</v>
      </c>
      <c r="J25" s="51" t="s">
        <v>245</v>
      </c>
      <c r="K25" s="59"/>
      <c r="L25" s="59"/>
      <c r="M25" s="59"/>
      <c r="N25" s="59"/>
      <c r="O25" s="59"/>
    </row>
    <row r="26" spans="1:15" ht="15">
      <c r="A26" s="51" t="s">
        <v>113</v>
      </c>
      <c r="B26" s="51" t="s">
        <v>114</v>
      </c>
      <c r="C26" s="51" t="s">
        <v>246</v>
      </c>
      <c r="D26" s="51" t="s">
        <v>247</v>
      </c>
      <c r="E26" s="51" t="s">
        <v>248</v>
      </c>
      <c r="F26" s="51" t="s">
        <v>249</v>
      </c>
      <c r="G26" s="51" t="s">
        <v>250</v>
      </c>
      <c r="H26" s="51" t="s">
        <v>251</v>
      </c>
      <c r="I26" s="51" t="s">
        <v>87</v>
      </c>
      <c r="J26" s="51" t="s">
        <v>252</v>
      </c>
      <c r="K26" s="59"/>
      <c r="L26" s="59"/>
      <c r="M26" s="59"/>
      <c r="N26" s="59"/>
      <c r="O26" s="59"/>
    </row>
    <row r="27" spans="1:15" ht="15">
      <c r="A27" s="51" t="s">
        <v>113</v>
      </c>
      <c r="B27" s="51" t="s">
        <v>253</v>
      </c>
      <c r="C27" s="51" t="s">
        <v>254</v>
      </c>
      <c r="D27" s="51" t="s">
        <v>255</v>
      </c>
      <c r="E27" s="51" t="s">
        <v>248</v>
      </c>
      <c r="F27" s="51" t="s">
        <v>256</v>
      </c>
      <c r="G27" s="51" t="s">
        <v>257</v>
      </c>
      <c r="H27" s="51" t="s">
        <v>258</v>
      </c>
      <c r="I27" s="51" t="s">
        <v>155</v>
      </c>
      <c r="J27" s="51" t="s">
        <v>259</v>
      </c>
      <c r="K27" s="59"/>
      <c r="L27" s="59"/>
      <c r="M27" s="59"/>
      <c r="N27" s="59"/>
      <c r="O27" s="59"/>
    </row>
    <row r="28" spans="1:15" ht="15">
      <c r="A28" s="51" t="s">
        <v>89</v>
      </c>
      <c r="B28" s="51" t="s">
        <v>260</v>
      </c>
      <c r="C28" s="51" t="s">
        <v>261</v>
      </c>
      <c r="D28" s="51" t="s">
        <v>135</v>
      </c>
      <c r="E28" s="51" t="s">
        <v>83</v>
      </c>
      <c r="F28" s="51" t="s">
        <v>262</v>
      </c>
      <c r="G28" s="51" t="s">
        <v>263</v>
      </c>
      <c r="H28" s="51" t="s">
        <v>264</v>
      </c>
      <c r="I28" s="51" t="s">
        <v>155</v>
      </c>
      <c r="J28" s="51" t="s">
        <v>265</v>
      </c>
      <c r="K28" s="59"/>
      <c r="L28" s="59"/>
      <c r="M28" s="59"/>
      <c r="N28" s="59"/>
      <c r="O28" s="59"/>
    </row>
    <row r="29" spans="1:15" ht="15">
      <c r="A29" s="51" t="s">
        <v>266</v>
      </c>
      <c r="B29" s="51" t="s">
        <v>267</v>
      </c>
      <c r="C29" s="51" t="s">
        <v>268</v>
      </c>
      <c r="D29" s="51" t="s">
        <v>269</v>
      </c>
      <c r="E29" s="51" t="s">
        <v>126</v>
      </c>
      <c r="F29" s="51" t="s">
        <v>270</v>
      </c>
      <c r="G29" s="51" t="s">
        <v>271</v>
      </c>
      <c r="H29" s="51" t="s">
        <v>272</v>
      </c>
      <c r="I29" s="51" t="s">
        <v>121</v>
      </c>
      <c r="J29" s="51" t="s">
        <v>273</v>
      </c>
      <c r="K29" s="59"/>
      <c r="L29" s="59"/>
      <c r="M29" s="59"/>
      <c r="N29" s="59"/>
      <c r="O29" s="59"/>
    </row>
    <row r="30" spans="1:15" ht="15">
      <c r="A30" s="51" t="s">
        <v>266</v>
      </c>
      <c r="B30" s="51" t="s">
        <v>114</v>
      </c>
      <c r="C30" s="51" t="s">
        <v>274</v>
      </c>
      <c r="D30" s="51" t="s">
        <v>275</v>
      </c>
      <c r="E30" s="51" t="s">
        <v>175</v>
      </c>
      <c r="F30" s="51" t="s">
        <v>276</v>
      </c>
      <c r="G30" s="51" t="s">
        <v>277</v>
      </c>
      <c r="H30" s="51" t="s">
        <v>278</v>
      </c>
      <c r="I30" s="51" t="s">
        <v>121</v>
      </c>
      <c r="J30" s="51" t="s">
        <v>279</v>
      </c>
      <c r="K30" s="59"/>
      <c r="L30" s="59"/>
      <c r="M30" s="59"/>
      <c r="N30" s="59"/>
      <c r="O30" s="59"/>
    </row>
    <row r="31" spans="1:15" ht="15">
      <c r="A31" s="51" t="s">
        <v>164</v>
      </c>
      <c r="B31" s="51" t="s">
        <v>90</v>
      </c>
      <c r="C31" s="51" t="s">
        <v>280</v>
      </c>
      <c r="D31" s="51" t="s">
        <v>281</v>
      </c>
      <c r="E31" s="51" t="s">
        <v>175</v>
      </c>
      <c r="F31" s="51" t="s">
        <v>282</v>
      </c>
      <c r="G31" s="51" t="s">
        <v>283</v>
      </c>
      <c r="H31" s="51" t="s">
        <v>284</v>
      </c>
      <c r="I31" s="51" t="s">
        <v>121</v>
      </c>
      <c r="J31" s="51" t="s">
        <v>285</v>
      </c>
      <c r="K31" s="59"/>
      <c r="L31" s="59"/>
      <c r="M31" s="59"/>
      <c r="N31" s="59"/>
      <c r="O31" s="59"/>
    </row>
    <row r="32" spans="1:15" ht="15">
      <c r="A32" s="51" t="s">
        <v>200</v>
      </c>
      <c r="B32" s="51" t="s">
        <v>123</v>
      </c>
      <c r="C32" s="51" t="s">
        <v>286</v>
      </c>
      <c r="D32" s="51" t="s">
        <v>287</v>
      </c>
      <c r="E32" s="51" t="s">
        <v>175</v>
      </c>
      <c r="F32" s="51" t="s">
        <v>288</v>
      </c>
      <c r="G32" s="51" t="s">
        <v>289</v>
      </c>
      <c r="H32" s="51" t="s">
        <v>290</v>
      </c>
      <c r="I32" s="51" t="s">
        <v>96</v>
      </c>
      <c r="J32" s="51" t="s">
        <v>291</v>
      </c>
      <c r="K32" s="59"/>
      <c r="L32" s="59"/>
      <c r="M32" s="59"/>
      <c r="N32" s="59"/>
      <c r="O32" s="59"/>
    </row>
    <row r="33" spans="1:15" ht="15">
      <c r="A33" s="51" t="s">
        <v>89</v>
      </c>
      <c r="B33" s="51" t="s">
        <v>165</v>
      </c>
      <c r="C33" s="51" t="s">
        <v>292</v>
      </c>
      <c r="D33" s="51" t="s">
        <v>293</v>
      </c>
      <c r="E33" s="51" t="s">
        <v>68</v>
      </c>
      <c r="F33" s="51" t="s">
        <v>294</v>
      </c>
      <c r="G33" s="51" t="s">
        <v>295</v>
      </c>
      <c r="H33" s="51" t="s">
        <v>296</v>
      </c>
      <c r="I33" s="51" t="s">
        <v>130</v>
      </c>
      <c r="J33" s="51" t="s">
        <v>297</v>
      </c>
      <c r="K33" s="59"/>
      <c r="L33" s="59"/>
      <c r="M33" s="59"/>
      <c r="N33" s="59"/>
      <c r="O33" s="59"/>
    </row>
    <row r="34" spans="1:15" ht="15">
      <c r="A34" s="51" t="s">
        <v>164</v>
      </c>
      <c r="B34" s="51" t="s">
        <v>141</v>
      </c>
      <c r="C34" s="51" t="s">
        <v>298</v>
      </c>
      <c r="D34" s="51" t="s">
        <v>299</v>
      </c>
      <c r="E34" s="51" t="s">
        <v>126</v>
      </c>
      <c r="F34" s="51" t="s">
        <v>300</v>
      </c>
      <c r="G34" s="51" t="s">
        <v>301</v>
      </c>
      <c r="H34" s="51" t="s">
        <v>302</v>
      </c>
      <c r="I34" s="51" t="s">
        <v>87</v>
      </c>
      <c r="J34" s="51" t="s">
        <v>303</v>
      </c>
      <c r="K34" s="59"/>
      <c r="L34" s="59"/>
      <c r="M34" s="59"/>
      <c r="N34" s="59"/>
      <c r="O34" s="59"/>
    </row>
    <row r="35" spans="1:15" ht="15">
      <c r="A35" s="51" t="s">
        <v>132</v>
      </c>
      <c r="B35" s="51" t="s">
        <v>180</v>
      </c>
      <c r="C35" s="51" t="s">
        <v>304</v>
      </c>
      <c r="D35" s="51" t="s">
        <v>305</v>
      </c>
      <c r="E35" s="51" t="s">
        <v>68</v>
      </c>
      <c r="F35" s="51" t="s">
        <v>306</v>
      </c>
      <c r="G35" s="51" t="s">
        <v>307</v>
      </c>
      <c r="H35" s="51" t="s">
        <v>308</v>
      </c>
      <c r="I35" s="51" t="s">
        <v>96</v>
      </c>
      <c r="J35" s="51" t="s">
        <v>309</v>
      </c>
      <c r="K35" s="59"/>
      <c r="L35" s="59"/>
      <c r="M35" s="59"/>
      <c r="N35" s="59"/>
      <c r="O35" s="59"/>
    </row>
    <row r="36" spans="1:15" ht="15">
      <c r="A36" s="51" t="s">
        <v>266</v>
      </c>
      <c r="B36" s="51" t="s">
        <v>310</v>
      </c>
      <c r="C36" s="51" t="s">
        <v>311</v>
      </c>
      <c r="D36" s="51" t="s">
        <v>312</v>
      </c>
      <c r="E36" s="51" t="s">
        <v>68</v>
      </c>
      <c r="F36" s="51" t="s">
        <v>313</v>
      </c>
      <c r="G36" s="51" t="s">
        <v>314</v>
      </c>
      <c r="H36" s="51" t="s">
        <v>315</v>
      </c>
      <c r="I36" s="51" t="s">
        <v>96</v>
      </c>
      <c r="J36" s="51" t="s">
        <v>316</v>
      </c>
      <c r="K36" s="59"/>
      <c r="L36" s="59"/>
      <c r="M36" s="59"/>
      <c r="N36" s="59"/>
      <c r="O36" s="59"/>
    </row>
    <row r="37" spans="1:15" ht="15">
      <c r="A37" s="51" t="s">
        <v>140</v>
      </c>
      <c r="B37" s="51" t="s">
        <v>317</v>
      </c>
      <c r="C37" s="51" t="s">
        <v>318</v>
      </c>
      <c r="D37" s="51" t="s">
        <v>319</v>
      </c>
      <c r="E37" s="51" t="s">
        <v>108</v>
      </c>
      <c r="F37" s="51" t="s">
        <v>320</v>
      </c>
      <c r="G37" s="51" t="s">
        <v>321</v>
      </c>
      <c r="H37" s="51" t="s">
        <v>322</v>
      </c>
      <c r="I37" s="51" t="s">
        <v>121</v>
      </c>
      <c r="J37" s="51" t="s">
        <v>323</v>
      </c>
      <c r="K37" s="59"/>
      <c r="L37" s="59"/>
      <c r="M37" s="59"/>
      <c r="N37" s="59"/>
      <c r="O37" s="59"/>
    </row>
    <row r="38" spans="1:15" ht="15">
      <c r="A38" s="51" t="s">
        <v>79</v>
      </c>
      <c r="B38" s="51" t="s">
        <v>149</v>
      </c>
      <c r="C38" s="51" t="s">
        <v>324</v>
      </c>
      <c r="D38" s="51" t="s">
        <v>325</v>
      </c>
      <c r="E38" s="51" t="s">
        <v>117</v>
      </c>
      <c r="F38" s="51" t="s">
        <v>326</v>
      </c>
      <c r="G38" s="51" t="s">
        <v>327</v>
      </c>
      <c r="H38" s="51" t="s">
        <v>328</v>
      </c>
      <c r="I38" s="51" t="s">
        <v>121</v>
      </c>
      <c r="J38" s="51" t="s">
        <v>329</v>
      </c>
      <c r="K38" s="59"/>
      <c r="L38" s="59"/>
      <c r="M38" s="59"/>
      <c r="N38" s="59"/>
      <c r="O38" s="59"/>
    </row>
    <row r="39" spans="1:15" ht="15">
      <c r="A39" s="51" t="s">
        <v>79</v>
      </c>
      <c r="B39" s="51" t="s">
        <v>180</v>
      </c>
      <c r="C39" s="51" t="s">
        <v>330</v>
      </c>
      <c r="D39" s="51" t="s">
        <v>331</v>
      </c>
      <c r="E39" s="51" t="s">
        <v>68</v>
      </c>
      <c r="F39" s="51" t="s">
        <v>332</v>
      </c>
      <c r="G39" s="51" t="s">
        <v>333</v>
      </c>
      <c r="H39" s="51" t="s">
        <v>334</v>
      </c>
      <c r="I39" s="51" t="s">
        <v>130</v>
      </c>
      <c r="J39" s="51" t="s">
        <v>335</v>
      </c>
      <c r="K39" s="59"/>
      <c r="L39" s="59"/>
      <c r="M39" s="59"/>
      <c r="N39" s="59"/>
      <c r="O39" s="59"/>
    </row>
    <row r="40" spans="1:15" ht="15">
      <c r="A40" s="51" t="s">
        <v>140</v>
      </c>
      <c r="B40" s="51" t="s">
        <v>260</v>
      </c>
      <c r="C40" s="51" t="s">
        <v>336</v>
      </c>
      <c r="D40" s="51" t="s">
        <v>337</v>
      </c>
      <c r="E40" s="51" t="s">
        <v>68</v>
      </c>
      <c r="F40" s="51" t="s">
        <v>338</v>
      </c>
      <c r="G40" s="51" t="s">
        <v>339</v>
      </c>
      <c r="H40" s="51" t="s">
        <v>340</v>
      </c>
      <c r="I40" s="51" t="s">
        <v>130</v>
      </c>
      <c r="J40" s="51" t="s">
        <v>341</v>
      </c>
      <c r="K40" s="59"/>
      <c r="L40" s="59"/>
      <c r="M40" s="59"/>
      <c r="N40" s="59"/>
      <c r="O40" s="59"/>
    </row>
    <row r="41" spans="1:15" ht="15">
      <c r="A41" s="51" t="s">
        <v>342</v>
      </c>
      <c r="B41" s="51" t="s">
        <v>343</v>
      </c>
      <c r="C41" s="51" t="s">
        <v>344</v>
      </c>
      <c r="D41" s="51" t="s">
        <v>345</v>
      </c>
      <c r="E41" s="51" t="s">
        <v>108</v>
      </c>
      <c r="F41" s="51" t="s">
        <v>346</v>
      </c>
      <c r="G41" s="51" t="s">
        <v>347</v>
      </c>
      <c r="H41" s="51" t="s">
        <v>348</v>
      </c>
      <c r="I41" s="51" t="s">
        <v>121</v>
      </c>
      <c r="J41" s="51" t="s">
        <v>349</v>
      </c>
      <c r="K41" s="59"/>
      <c r="L41" s="59"/>
      <c r="M41" s="59"/>
      <c r="N41" s="59"/>
      <c r="O41" s="59"/>
    </row>
    <row r="42" spans="1:15" ht="15">
      <c r="A42" s="51" t="s">
        <v>200</v>
      </c>
      <c r="B42" s="51" t="s">
        <v>172</v>
      </c>
      <c r="C42" s="51" t="s">
        <v>350</v>
      </c>
      <c r="D42" s="51" t="s">
        <v>351</v>
      </c>
      <c r="E42" s="51" t="s">
        <v>203</v>
      </c>
      <c r="F42" s="51" t="s">
        <v>352</v>
      </c>
      <c r="G42" s="51" t="s">
        <v>353</v>
      </c>
      <c r="H42" s="51" t="s">
        <v>354</v>
      </c>
      <c r="I42" s="51" t="s">
        <v>130</v>
      </c>
      <c r="J42" s="51" t="s">
        <v>355</v>
      </c>
      <c r="K42" s="59"/>
      <c r="L42" s="59"/>
      <c r="M42" s="59"/>
      <c r="N42" s="59"/>
      <c r="O42" s="59"/>
    </row>
    <row r="43" spans="1:15" ht="15">
      <c r="A43" s="51" t="s">
        <v>148</v>
      </c>
      <c r="B43" s="51" t="s">
        <v>123</v>
      </c>
      <c r="C43" s="51" t="s">
        <v>356</v>
      </c>
      <c r="D43" s="51" t="s">
        <v>357</v>
      </c>
      <c r="E43" s="51" t="s">
        <v>83</v>
      </c>
      <c r="F43" s="51" t="s">
        <v>358</v>
      </c>
      <c r="G43" s="51" t="s">
        <v>359</v>
      </c>
      <c r="H43" s="51" t="s">
        <v>360</v>
      </c>
      <c r="I43" s="51" t="s">
        <v>87</v>
      </c>
      <c r="J43" s="51" t="s">
        <v>361</v>
      </c>
      <c r="K43" s="59"/>
      <c r="L43" s="59"/>
      <c r="M43" s="59"/>
      <c r="N43" s="59"/>
      <c r="O43" s="59"/>
    </row>
    <row r="44" spans="1:15" ht="15">
      <c r="A44" s="51" t="s">
        <v>342</v>
      </c>
      <c r="B44" s="51" t="s">
        <v>123</v>
      </c>
      <c r="C44" s="51" t="s">
        <v>362</v>
      </c>
      <c r="D44" s="51" t="s">
        <v>363</v>
      </c>
      <c r="E44" s="51" t="s">
        <v>108</v>
      </c>
      <c r="F44" s="51" t="s">
        <v>364</v>
      </c>
      <c r="G44" s="51" t="s">
        <v>365</v>
      </c>
      <c r="H44" s="51" t="s">
        <v>366</v>
      </c>
      <c r="I44" s="51" t="s">
        <v>121</v>
      </c>
      <c r="J44" s="51" t="s">
        <v>367</v>
      </c>
      <c r="K44" s="59"/>
      <c r="L44" s="59"/>
      <c r="M44" s="59"/>
      <c r="N44" s="59"/>
      <c r="O44" s="59"/>
    </row>
    <row r="45" spans="1:15" ht="15">
      <c r="A45" s="51" t="s">
        <v>79</v>
      </c>
      <c r="B45" s="51" t="s">
        <v>114</v>
      </c>
      <c r="C45" s="51" t="s">
        <v>368</v>
      </c>
      <c r="D45" s="51" t="s">
        <v>369</v>
      </c>
      <c r="E45" s="51" t="s">
        <v>68</v>
      </c>
      <c r="F45" s="51" t="s">
        <v>370</v>
      </c>
      <c r="G45" s="51" t="s">
        <v>371</v>
      </c>
      <c r="H45" s="51" t="s">
        <v>372</v>
      </c>
      <c r="I45" s="51" t="s">
        <v>96</v>
      </c>
      <c r="J45" s="51" t="s">
        <v>373</v>
      </c>
      <c r="K45" s="59"/>
      <c r="L45" s="59"/>
      <c r="M45" s="59"/>
      <c r="N45" s="59"/>
      <c r="O45" s="59"/>
    </row>
    <row r="46" spans="1:15" ht="15">
      <c r="A46" s="51" t="s">
        <v>79</v>
      </c>
      <c r="B46" s="51" t="s">
        <v>343</v>
      </c>
      <c r="C46" s="51" t="s">
        <v>374</v>
      </c>
      <c r="D46" s="51" t="s">
        <v>375</v>
      </c>
      <c r="E46" s="51" t="s">
        <v>108</v>
      </c>
      <c r="F46" s="51" t="s">
        <v>376</v>
      </c>
      <c r="G46" s="51" t="s">
        <v>377</v>
      </c>
      <c r="H46" s="51" t="s">
        <v>378</v>
      </c>
      <c r="I46" s="51" t="s">
        <v>87</v>
      </c>
      <c r="J46" s="51" t="s">
        <v>379</v>
      </c>
      <c r="K46" s="59"/>
      <c r="L46" s="59"/>
      <c r="M46" s="59"/>
      <c r="N46" s="59"/>
      <c r="O46" s="59"/>
    </row>
    <row r="47" spans="1:15" ht="15">
      <c r="A47" s="51" t="s">
        <v>113</v>
      </c>
      <c r="B47" s="51" t="s">
        <v>221</v>
      </c>
      <c r="C47" s="51" t="s">
        <v>380</v>
      </c>
      <c r="D47" s="51" t="s">
        <v>381</v>
      </c>
      <c r="E47" s="51" t="s">
        <v>175</v>
      </c>
      <c r="F47" s="51" t="s">
        <v>382</v>
      </c>
      <c r="G47" s="51" t="s">
        <v>383</v>
      </c>
      <c r="H47" s="51" t="s">
        <v>384</v>
      </c>
      <c r="I47" s="51" t="s">
        <v>87</v>
      </c>
      <c r="J47" s="51" t="s">
        <v>385</v>
      </c>
      <c r="K47" s="59"/>
      <c r="L47" s="59"/>
      <c r="M47" s="59"/>
      <c r="N47" s="59"/>
      <c r="O47" s="59"/>
    </row>
    <row r="48" spans="1:15" ht="15">
      <c r="A48" s="51" t="s">
        <v>89</v>
      </c>
      <c r="B48" s="51" t="s">
        <v>180</v>
      </c>
      <c r="C48" s="51" t="s">
        <v>386</v>
      </c>
      <c r="D48" s="51" t="s">
        <v>331</v>
      </c>
      <c r="E48" s="51" t="s">
        <v>117</v>
      </c>
      <c r="F48" s="51" t="s">
        <v>387</v>
      </c>
      <c r="G48" s="51" t="s">
        <v>388</v>
      </c>
      <c r="H48" s="51" t="s">
        <v>389</v>
      </c>
      <c r="I48" s="51" t="s">
        <v>96</v>
      </c>
      <c r="J48" s="51" t="s">
        <v>390</v>
      </c>
      <c r="K48" s="59"/>
      <c r="L48" s="59"/>
      <c r="M48" s="59"/>
      <c r="N48" s="59"/>
      <c r="O48" s="59"/>
    </row>
    <row r="49" spans="1:15" ht="15">
      <c r="A49" s="51" t="s">
        <v>148</v>
      </c>
      <c r="B49" s="51" t="s">
        <v>260</v>
      </c>
      <c r="C49" s="51" t="s">
        <v>391</v>
      </c>
      <c r="D49" s="51" t="s">
        <v>392</v>
      </c>
      <c r="E49" s="51" t="s">
        <v>83</v>
      </c>
      <c r="F49" s="51" t="s">
        <v>393</v>
      </c>
      <c r="G49" s="51" t="s">
        <v>394</v>
      </c>
      <c r="H49" s="51" t="s">
        <v>395</v>
      </c>
      <c r="I49" s="51" t="s">
        <v>121</v>
      </c>
      <c r="J49" s="51" t="s">
        <v>396</v>
      </c>
      <c r="K49" s="59"/>
      <c r="L49" s="59"/>
      <c r="M49" s="59"/>
      <c r="N49" s="59"/>
      <c r="O49" s="59"/>
    </row>
    <row r="50" spans="1:15" ht="15">
      <c r="A50" s="51" t="s">
        <v>132</v>
      </c>
      <c r="B50" s="51" t="s">
        <v>193</v>
      </c>
      <c r="C50" s="51" t="s">
        <v>397</v>
      </c>
      <c r="D50" s="51" t="s">
        <v>398</v>
      </c>
      <c r="E50" s="51" t="s">
        <v>68</v>
      </c>
      <c r="F50" s="51" t="s">
        <v>399</v>
      </c>
      <c r="G50" s="51" t="s">
        <v>400</v>
      </c>
      <c r="H50" s="51" t="s">
        <v>401</v>
      </c>
      <c r="I50" s="51" t="s">
        <v>155</v>
      </c>
      <c r="J50" s="51" t="s">
        <v>402</v>
      </c>
      <c r="K50" s="59"/>
      <c r="L50" s="59"/>
      <c r="M50" s="59"/>
      <c r="N50" s="59"/>
      <c r="O50" s="59"/>
    </row>
    <row r="51" spans="1:15" ht="15">
      <c r="A51" s="51" t="s">
        <v>140</v>
      </c>
      <c r="B51" s="51" t="s">
        <v>98</v>
      </c>
      <c r="C51" s="51" t="s">
        <v>403</v>
      </c>
      <c r="D51" s="51" t="s">
        <v>404</v>
      </c>
      <c r="E51" s="51" t="s">
        <v>248</v>
      </c>
      <c r="F51" s="51" t="s">
        <v>405</v>
      </c>
      <c r="G51" s="51" t="s">
        <v>406</v>
      </c>
      <c r="H51" s="51" t="s">
        <v>407</v>
      </c>
      <c r="I51" s="51" t="s">
        <v>130</v>
      </c>
      <c r="J51" s="51" t="s">
        <v>408</v>
      </c>
      <c r="K51" s="59"/>
      <c r="L51" s="59"/>
      <c r="M51" s="59"/>
      <c r="N51" s="59"/>
      <c r="O51" s="59"/>
    </row>
    <row r="52" spans="1:15" ht="15">
      <c r="A52" s="51" t="s">
        <v>79</v>
      </c>
      <c r="B52" s="51" t="s">
        <v>157</v>
      </c>
      <c r="C52" s="51" t="s">
        <v>409</v>
      </c>
      <c r="D52" s="51" t="s">
        <v>410</v>
      </c>
      <c r="E52" s="51" t="s">
        <v>248</v>
      </c>
      <c r="F52" s="51" t="s">
        <v>411</v>
      </c>
      <c r="G52" s="51" t="s">
        <v>412</v>
      </c>
      <c r="H52" s="51" t="s">
        <v>413</v>
      </c>
      <c r="I52" s="51" t="s">
        <v>155</v>
      </c>
      <c r="J52" s="51" t="s">
        <v>414</v>
      </c>
      <c r="K52" s="59"/>
      <c r="L52" s="59"/>
      <c r="M52" s="59"/>
      <c r="N52" s="59"/>
      <c r="O52" s="59"/>
    </row>
    <row r="53" spans="1:15" ht="15">
      <c r="A53" s="51" t="s">
        <v>113</v>
      </c>
      <c r="B53" s="51" t="s">
        <v>310</v>
      </c>
      <c r="C53" s="51" t="s">
        <v>415</v>
      </c>
      <c r="D53" s="51" t="s">
        <v>416</v>
      </c>
      <c r="E53" s="51" t="s">
        <v>117</v>
      </c>
      <c r="F53" s="51" t="s">
        <v>417</v>
      </c>
      <c r="G53" s="51" t="s">
        <v>418</v>
      </c>
      <c r="H53" s="51" t="s">
        <v>419</v>
      </c>
      <c r="I53" s="51" t="s">
        <v>96</v>
      </c>
      <c r="J53" s="51" t="s">
        <v>420</v>
      </c>
      <c r="K53" s="59"/>
      <c r="L53" s="59"/>
      <c r="M53" s="59"/>
      <c r="N53" s="59"/>
      <c r="O53" s="59"/>
    </row>
    <row r="54" spans="1:15" ht="15">
      <c r="A54" s="51" t="s">
        <v>79</v>
      </c>
      <c r="B54" s="51" t="s">
        <v>214</v>
      </c>
      <c r="C54" s="51" t="s">
        <v>421</v>
      </c>
      <c r="D54" s="51" t="s">
        <v>422</v>
      </c>
      <c r="E54" s="51" t="s">
        <v>203</v>
      </c>
      <c r="F54" s="51" t="s">
        <v>423</v>
      </c>
      <c r="G54" s="51" t="s">
        <v>424</v>
      </c>
      <c r="H54" s="51" t="s">
        <v>425</v>
      </c>
      <c r="I54" s="51" t="s">
        <v>155</v>
      </c>
      <c r="J54" s="51" t="s">
        <v>426</v>
      </c>
      <c r="K54" s="59"/>
      <c r="L54" s="59"/>
      <c r="M54" s="59"/>
      <c r="N54" s="59"/>
      <c r="O54" s="59"/>
    </row>
    <row r="55" spans="1:15" ht="15">
      <c r="A55" s="51" t="s">
        <v>342</v>
      </c>
      <c r="B55" s="51" t="s">
        <v>221</v>
      </c>
      <c r="C55" s="51" t="s">
        <v>427</v>
      </c>
      <c r="D55" s="51" t="s">
        <v>428</v>
      </c>
      <c r="E55" s="51" t="s">
        <v>203</v>
      </c>
      <c r="F55" s="51" t="s">
        <v>429</v>
      </c>
      <c r="G55" s="51" t="s">
        <v>430</v>
      </c>
      <c r="H55" s="51" t="s">
        <v>431</v>
      </c>
      <c r="I55" s="51" t="s">
        <v>121</v>
      </c>
      <c r="J55" s="51" t="s">
        <v>432</v>
      </c>
      <c r="K55" s="59"/>
      <c r="L55" s="59"/>
      <c r="M55" s="59"/>
      <c r="N55" s="59"/>
      <c r="O55" s="59"/>
    </row>
    <row r="56" spans="1:15" ht="15">
      <c r="A56" s="51" t="s">
        <v>200</v>
      </c>
      <c r="B56" s="51" t="s">
        <v>310</v>
      </c>
      <c r="C56" s="51" t="s">
        <v>433</v>
      </c>
      <c r="D56" s="51" t="s">
        <v>434</v>
      </c>
      <c r="E56" s="51" t="s">
        <v>203</v>
      </c>
      <c r="F56" s="51" t="s">
        <v>435</v>
      </c>
      <c r="G56" s="51" t="s">
        <v>436</v>
      </c>
      <c r="H56" s="51" t="s">
        <v>437</v>
      </c>
      <c r="I56" s="51" t="s">
        <v>96</v>
      </c>
      <c r="J56" s="51" t="s">
        <v>438</v>
      </c>
      <c r="K56" s="59"/>
      <c r="L56" s="59"/>
      <c r="M56" s="59"/>
      <c r="N56" s="59"/>
      <c r="O56" s="59"/>
    </row>
    <row r="57" spans="1:15" ht="15">
      <c r="A57" s="51" t="s">
        <v>342</v>
      </c>
      <c r="B57" s="51" t="s">
        <v>267</v>
      </c>
      <c r="C57" s="51" t="s">
        <v>439</v>
      </c>
      <c r="D57" s="51" t="s">
        <v>440</v>
      </c>
      <c r="E57" s="51" t="s">
        <v>83</v>
      </c>
      <c r="F57" s="51" t="s">
        <v>441</v>
      </c>
      <c r="G57" s="51" t="s">
        <v>442</v>
      </c>
      <c r="H57" s="51" t="s">
        <v>443</v>
      </c>
      <c r="I57" s="51" t="s">
        <v>87</v>
      </c>
      <c r="J57" s="51" t="s">
        <v>444</v>
      </c>
      <c r="K57" s="59"/>
      <c r="L57" s="59"/>
      <c r="M57" s="59"/>
      <c r="N57" s="59"/>
      <c r="O57" s="59"/>
    </row>
    <row r="58" spans="1:15" ht="15">
      <c r="A58" s="51" t="s">
        <v>89</v>
      </c>
      <c r="B58" s="51" t="s">
        <v>105</v>
      </c>
      <c r="C58" s="51" t="s">
        <v>445</v>
      </c>
      <c r="D58" s="51" t="s">
        <v>446</v>
      </c>
      <c r="E58" s="51" t="s">
        <v>68</v>
      </c>
      <c r="F58" s="51" t="s">
        <v>447</v>
      </c>
      <c r="G58" s="51" t="s">
        <v>448</v>
      </c>
      <c r="H58" s="51" t="s">
        <v>449</v>
      </c>
      <c r="I58" s="51" t="s">
        <v>121</v>
      </c>
      <c r="J58" s="51" t="s">
        <v>450</v>
      </c>
      <c r="K58" s="59"/>
      <c r="L58" s="59"/>
      <c r="M58" s="59"/>
      <c r="N58" s="59"/>
      <c r="O58" s="59"/>
    </row>
    <row r="59" spans="1:15" ht="15">
      <c r="A59" s="51" t="s">
        <v>148</v>
      </c>
      <c r="B59" s="51" t="s">
        <v>141</v>
      </c>
      <c r="C59" s="51" t="s">
        <v>451</v>
      </c>
      <c r="D59" s="51" t="s">
        <v>452</v>
      </c>
      <c r="E59" s="51" t="s">
        <v>203</v>
      </c>
      <c r="F59" s="51" t="s">
        <v>453</v>
      </c>
      <c r="G59" s="51" t="s">
        <v>454</v>
      </c>
      <c r="H59" s="51" t="s">
        <v>455</v>
      </c>
      <c r="I59" s="51" t="s">
        <v>130</v>
      </c>
      <c r="J59" s="51" t="s">
        <v>456</v>
      </c>
      <c r="K59" s="59"/>
      <c r="L59" s="59"/>
      <c r="M59" s="59"/>
      <c r="N59" s="59"/>
      <c r="O59" s="59"/>
    </row>
    <row r="60" spans="1:15" ht="15">
      <c r="A60" s="51" t="s">
        <v>164</v>
      </c>
      <c r="B60" s="51" t="s">
        <v>457</v>
      </c>
      <c r="C60" s="51" t="s">
        <v>458</v>
      </c>
      <c r="D60" s="51" t="s">
        <v>459</v>
      </c>
      <c r="E60" s="51" t="s">
        <v>83</v>
      </c>
      <c r="F60" s="51" t="s">
        <v>460</v>
      </c>
      <c r="G60" s="51" t="s">
        <v>461</v>
      </c>
      <c r="H60" s="51" t="s">
        <v>462</v>
      </c>
      <c r="I60" s="51" t="s">
        <v>96</v>
      </c>
      <c r="J60" s="51" t="s">
        <v>463</v>
      </c>
      <c r="K60" s="59"/>
      <c r="L60" s="59"/>
      <c r="M60" s="59"/>
      <c r="N60" s="59"/>
      <c r="O60" s="59"/>
    </row>
    <row r="61" spans="1:15" ht="15">
      <c r="A61" s="51" t="s">
        <v>113</v>
      </c>
      <c r="B61" s="51" t="s">
        <v>310</v>
      </c>
      <c r="C61" s="51" t="s">
        <v>464</v>
      </c>
      <c r="D61" s="51" t="s">
        <v>465</v>
      </c>
      <c r="E61" s="51" t="s">
        <v>68</v>
      </c>
      <c r="F61" s="51" t="s">
        <v>466</v>
      </c>
      <c r="G61" s="51" t="s">
        <v>467</v>
      </c>
      <c r="H61" s="51" t="s">
        <v>468</v>
      </c>
      <c r="I61" s="51" t="s">
        <v>130</v>
      </c>
      <c r="J61" s="51" t="s">
        <v>469</v>
      </c>
      <c r="K61" s="59"/>
      <c r="L61" s="59"/>
      <c r="M61" s="59"/>
      <c r="N61" s="59"/>
      <c r="O61" s="59"/>
    </row>
    <row r="62" spans="1:15" ht="15">
      <c r="A62" s="51" t="s">
        <v>164</v>
      </c>
      <c r="B62" s="51" t="s">
        <v>105</v>
      </c>
      <c r="C62" s="51" t="s">
        <v>470</v>
      </c>
      <c r="D62" s="51" t="s">
        <v>471</v>
      </c>
      <c r="E62" s="51" t="s">
        <v>203</v>
      </c>
      <c r="F62" s="51" t="s">
        <v>472</v>
      </c>
      <c r="G62" s="51" t="s">
        <v>473</v>
      </c>
      <c r="H62" s="51" t="s">
        <v>474</v>
      </c>
      <c r="I62" s="51" t="s">
        <v>130</v>
      </c>
      <c r="J62" s="51" t="s">
        <v>475</v>
      </c>
      <c r="K62" s="59"/>
      <c r="L62" s="59"/>
      <c r="M62" s="59"/>
      <c r="N62" s="59"/>
      <c r="O62" s="59"/>
    </row>
    <row r="63" spans="1:15" ht="15">
      <c r="A63" s="51" t="s">
        <v>89</v>
      </c>
      <c r="B63" s="51" t="s">
        <v>98</v>
      </c>
      <c r="C63" s="51" t="s">
        <v>476</v>
      </c>
      <c r="D63" s="51" t="s">
        <v>477</v>
      </c>
      <c r="E63" s="51" t="s">
        <v>203</v>
      </c>
      <c r="F63" s="51" t="s">
        <v>478</v>
      </c>
      <c r="G63" s="51" t="s">
        <v>479</v>
      </c>
      <c r="H63" s="51" t="s">
        <v>480</v>
      </c>
      <c r="I63" s="51" t="s">
        <v>87</v>
      </c>
      <c r="J63" s="51" t="s">
        <v>481</v>
      </c>
      <c r="K63" s="59"/>
      <c r="L63" s="59"/>
      <c r="M63" s="59"/>
      <c r="N63" s="59"/>
      <c r="O63" s="59"/>
    </row>
    <row r="64" spans="1:15" ht="15">
      <c r="A64" s="51" t="s">
        <v>164</v>
      </c>
      <c r="B64" s="51" t="s">
        <v>253</v>
      </c>
      <c r="C64" s="51" t="s">
        <v>482</v>
      </c>
      <c r="D64" s="51" t="s">
        <v>483</v>
      </c>
      <c r="E64" s="51" t="s">
        <v>68</v>
      </c>
      <c r="F64" s="51" t="s">
        <v>484</v>
      </c>
      <c r="G64" s="51" t="s">
        <v>485</v>
      </c>
      <c r="H64" s="51" t="s">
        <v>486</v>
      </c>
      <c r="I64" s="51" t="s">
        <v>96</v>
      </c>
      <c r="J64" s="51" t="s">
        <v>487</v>
      </c>
      <c r="K64" s="59"/>
      <c r="L64" s="59"/>
      <c r="M64" s="59"/>
      <c r="N64" s="59"/>
      <c r="O64" s="59"/>
    </row>
    <row r="65" spans="1:15" ht="15">
      <c r="A65" s="51" t="s">
        <v>132</v>
      </c>
      <c r="B65" s="51" t="s">
        <v>180</v>
      </c>
      <c r="C65" s="51" t="s">
        <v>488</v>
      </c>
      <c r="D65" s="51" t="s">
        <v>489</v>
      </c>
      <c r="E65" s="51" t="s">
        <v>117</v>
      </c>
      <c r="F65" s="51" t="s">
        <v>490</v>
      </c>
      <c r="G65" s="51" t="s">
        <v>491</v>
      </c>
      <c r="H65" s="51" t="s">
        <v>492</v>
      </c>
      <c r="I65" s="51" t="s">
        <v>130</v>
      </c>
      <c r="J65" s="51" t="s">
        <v>493</v>
      </c>
      <c r="K65" s="59"/>
      <c r="L65" s="59"/>
      <c r="M65" s="59"/>
      <c r="N65" s="59"/>
      <c r="O65" s="59"/>
    </row>
    <row r="66" spans="1:15" ht="15">
      <c r="A66" s="51" t="s">
        <v>89</v>
      </c>
      <c r="B66" s="51" t="s">
        <v>310</v>
      </c>
      <c r="C66" s="51" t="s">
        <v>494</v>
      </c>
      <c r="D66" s="51" t="s">
        <v>495</v>
      </c>
      <c r="E66" s="51" t="s">
        <v>117</v>
      </c>
      <c r="F66" s="51" t="s">
        <v>496</v>
      </c>
      <c r="G66" s="51" t="s">
        <v>497</v>
      </c>
      <c r="H66" s="51" t="s">
        <v>498</v>
      </c>
      <c r="I66" s="51" t="s">
        <v>96</v>
      </c>
      <c r="J66" s="51" t="s">
        <v>499</v>
      </c>
      <c r="K66" s="59"/>
      <c r="L66" s="59"/>
      <c r="M66" s="59"/>
      <c r="N66" s="59"/>
      <c r="O66" s="59"/>
    </row>
    <row r="67" spans="1:15" ht="15">
      <c r="A67" s="51" t="s">
        <v>266</v>
      </c>
      <c r="B67" s="51" t="s">
        <v>172</v>
      </c>
      <c r="C67" s="51" t="s">
        <v>500</v>
      </c>
      <c r="D67" s="51" t="s">
        <v>501</v>
      </c>
      <c r="E67" s="51" t="s">
        <v>83</v>
      </c>
      <c r="F67" s="51" t="s">
        <v>502</v>
      </c>
      <c r="G67" s="51" t="s">
        <v>503</v>
      </c>
      <c r="H67" s="51" t="s">
        <v>504</v>
      </c>
      <c r="I67" s="51" t="s">
        <v>96</v>
      </c>
      <c r="J67" s="51" t="s">
        <v>505</v>
      </c>
      <c r="K67" s="59"/>
      <c r="L67" s="59"/>
      <c r="M67" s="59"/>
      <c r="N67" s="59"/>
      <c r="O67" s="59"/>
    </row>
    <row r="68" spans="1:15" ht="15">
      <c r="A68" s="51" t="s">
        <v>89</v>
      </c>
      <c r="B68" s="51" t="s">
        <v>149</v>
      </c>
      <c r="C68" s="51" t="s">
        <v>506</v>
      </c>
      <c r="D68" s="51" t="s">
        <v>507</v>
      </c>
      <c r="E68" s="51" t="s">
        <v>175</v>
      </c>
      <c r="F68" s="51" t="s">
        <v>508</v>
      </c>
      <c r="G68" s="51" t="s">
        <v>509</v>
      </c>
      <c r="H68" s="51" t="s">
        <v>510</v>
      </c>
      <c r="I68" s="51" t="s">
        <v>87</v>
      </c>
      <c r="J68" s="51" t="s">
        <v>511</v>
      </c>
      <c r="K68" s="59"/>
      <c r="L68" s="59"/>
      <c r="M68" s="59"/>
      <c r="N68" s="59"/>
      <c r="O68" s="59"/>
    </row>
    <row r="69" spans="1:15" ht="15">
      <c r="A69" s="51" t="s">
        <v>200</v>
      </c>
      <c r="B69" s="51" t="s">
        <v>172</v>
      </c>
      <c r="C69" s="51" t="s">
        <v>512</v>
      </c>
      <c r="D69" s="51" t="s">
        <v>513</v>
      </c>
      <c r="E69" s="51" t="s">
        <v>203</v>
      </c>
      <c r="F69" s="51" t="s">
        <v>514</v>
      </c>
      <c r="G69" s="51" t="s">
        <v>515</v>
      </c>
      <c r="H69" s="51" t="s">
        <v>516</v>
      </c>
      <c r="I69" s="51" t="s">
        <v>121</v>
      </c>
      <c r="J69" s="51" t="s">
        <v>517</v>
      </c>
      <c r="K69" s="59"/>
      <c r="L69" s="59"/>
      <c r="M69" s="59"/>
      <c r="N69" s="59"/>
      <c r="O69" s="59"/>
    </row>
    <row r="70" spans="1:15" ht="15">
      <c r="A70" s="51" t="s">
        <v>200</v>
      </c>
      <c r="B70" s="51" t="s">
        <v>149</v>
      </c>
      <c r="C70" s="51" t="s">
        <v>518</v>
      </c>
      <c r="D70" s="51" t="s">
        <v>519</v>
      </c>
      <c r="E70" s="51" t="s">
        <v>108</v>
      </c>
      <c r="F70" s="51" t="s">
        <v>520</v>
      </c>
      <c r="G70" s="51" t="s">
        <v>521</v>
      </c>
      <c r="H70" s="51" t="s">
        <v>522</v>
      </c>
      <c r="I70" s="51" t="s">
        <v>121</v>
      </c>
      <c r="J70" s="51" t="s">
        <v>523</v>
      </c>
      <c r="K70" s="59"/>
      <c r="L70" s="59"/>
      <c r="M70" s="59"/>
      <c r="N70" s="59"/>
      <c r="O70" s="59"/>
    </row>
    <row r="71" spans="1:15" ht="15">
      <c r="A71" s="51" t="s">
        <v>164</v>
      </c>
      <c r="B71" s="51" t="s">
        <v>98</v>
      </c>
      <c r="C71" s="51" t="s">
        <v>524</v>
      </c>
      <c r="D71" s="51" t="s">
        <v>525</v>
      </c>
      <c r="E71" s="51" t="s">
        <v>108</v>
      </c>
      <c r="F71" s="51" t="s">
        <v>526</v>
      </c>
      <c r="G71" s="51" t="s">
        <v>527</v>
      </c>
      <c r="H71" s="51" t="s">
        <v>528</v>
      </c>
      <c r="I71" s="51" t="s">
        <v>130</v>
      </c>
      <c r="J71" s="51" t="s">
        <v>529</v>
      </c>
      <c r="K71" s="59"/>
      <c r="L71" s="59"/>
      <c r="M71" s="59"/>
      <c r="N71" s="59"/>
      <c r="O71" s="59"/>
    </row>
    <row r="72" spans="1:15" ht="15">
      <c r="A72" s="51" t="s">
        <v>140</v>
      </c>
      <c r="B72" s="51" t="s">
        <v>98</v>
      </c>
      <c r="C72" s="51" t="s">
        <v>530</v>
      </c>
      <c r="D72" s="51" t="s">
        <v>531</v>
      </c>
      <c r="E72" s="51" t="s">
        <v>108</v>
      </c>
      <c r="F72" s="51" t="s">
        <v>532</v>
      </c>
      <c r="G72" s="51" t="s">
        <v>533</v>
      </c>
      <c r="H72" s="51" t="s">
        <v>534</v>
      </c>
      <c r="I72" s="51" t="s">
        <v>155</v>
      </c>
      <c r="J72" s="51" t="s">
        <v>535</v>
      </c>
      <c r="K72" s="59"/>
      <c r="L72" s="59"/>
      <c r="M72" s="59"/>
      <c r="N72" s="59"/>
      <c r="O72" s="59"/>
    </row>
    <row r="73" spans="1:15" ht="15">
      <c r="A73" s="51" t="s">
        <v>266</v>
      </c>
      <c r="B73" s="51" t="s">
        <v>253</v>
      </c>
      <c r="C73" s="51" t="s">
        <v>536</v>
      </c>
      <c r="D73" s="51" t="s">
        <v>537</v>
      </c>
      <c r="E73" s="51" t="s">
        <v>83</v>
      </c>
      <c r="F73" s="51" t="s">
        <v>538</v>
      </c>
      <c r="G73" s="51" t="s">
        <v>539</v>
      </c>
      <c r="H73" s="51" t="s">
        <v>540</v>
      </c>
      <c r="I73" s="51" t="s">
        <v>96</v>
      </c>
      <c r="J73" s="51" t="s">
        <v>541</v>
      </c>
      <c r="K73" s="59"/>
      <c r="L73" s="59"/>
      <c r="M73" s="59"/>
      <c r="N73" s="59"/>
      <c r="O73" s="59"/>
    </row>
    <row r="74" spans="1:15" ht="15">
      <c r="A74" s="51" t="s">
        <v>140</v>
      </c>
      <c r="B74" s="51" t="s">
        <v>90</v>
      </c>
      <c r="C74" s="51" t="s">
        <v>542</v>
      </c>
      <c r="D74" s="51" t="s">
        <v>543</v>
      </c>
      <c r="E74" s="51" t="s">
        <v>108</v>
      </c>
      <c r="F74" s="51" t="s">
        <v>544</v>
      </c>
      <c r="G74" s="51" t="s">
        <v>545</v>
      </c>
      <c r="H74" s="51" t="s">
        <v>546</v>
      </c>
      <c r="I74" s="51" t="s">
        <v>130</v>
      </c>
      <c r="J74" s="51" t="s">
        <v>547</v>
      </c>
      <c r="K74" s="59"/>
      <c r="L74" s="59"/>
      <c r="M74" s="59"/>
      <c r="N74" s="59"/>
      <c r="O74" s="59"/>
    </row>
    <row r="75" spans="1:15" ht="15">
      <c r="A75" s="51" t="s">
        <v>164</v>
      </c>
      <c r="B75" s="51" t="s">
        <v>214</v>
      </c>
      <c r="C75" s="51" t="s">
        <v>548</v>
      </c>
      <c r="D75" s="51" t="s">
        <v>549</v>
      </c>
      <c r="E75" s="51" t="s">
        <v>83</v>
      </c>
      <c r="F75" s="51" t="s">
        <v>550</v>
      </c>
      <c r="G75" s="51" t="s">
        <v>551</v>
      </c>
      <c r="H75" s="51" t="s">
        <v>552</v>
      </c>
      <c r="I75" s="51" t="s">
        <v>155</v>
      </c>
      <c r="J75" s="51" t="s">
        <v>553</v>
      </c>
      <c r="K75" s="59"/>
      <c r="L75" s="59"/>
      <c r="M75" s="59"/>
      <c r="N75" s="59"/>
      <c r="O75" s="59"/>
    </row>
    <row r="76" spans="1:15" ht="15">
      <c r="A76" s="51" t="s">
        <v>89</v>
      </c>
      <c r="B76" s="51" t="s">
        <v>193</v>
      </c>
      <c r="C76" s="51" t="s">
        <v>554</v>
      </c>
      <c r="D76" s="51" t="s">
        <v>555</v>
      </c>
      <c r="E76" s="51" t="s">
        <v>248</v>
      </c>
      <c r="F76" s="51" t="s">
        <v>556</v>
      </c>
      <c r="G76" s="51" t="s">
        <v>557</v>
      </c>
      <c r="H76" s="51" t="s">
        <v>558</v>
      </c>
      <c r="I76" s="51" t="s">
        <v>155</v>
      </c>
      <c r="J76" s="51" t="s">
        <v>559</v>
      </c>
      <c r="K76" s="59"/>
      <c r="L76" s="59"/>
      <c r="M76" s="59"/>
      <c r="N76" s="59"/>
      <c r="O76" s="59"/>
    </row>
    <row r="77" spans="1:15" ht="15">
      <c r="A77" s="51" t="s">
        <v>266</v>
      </c>
      <c r="B77" s="51" t="s">
        <v>214</v>
      </c>
      <c r="C77" s="51" t="s">
        <v>560</v>
      </c>
      <c r="D77" s="51" t="s">
        <v>561</v>
      </c>
      <c r="E77" s="51" t="s">
        <v>117</v>
      </c>
      <c r="F77" s="51" t="s">
        <v>562</v>
      </c>
      <c r="G77" s="51" t="s">
        <v>497</v>
      </c>
      <c r="H77" s="51" t="s">
        <v>563</v>
      </c>
      <c r="I77" s="51" t="s">
        <v>155</v>
      </c>
      <c r="J77" s="51" t="s">
        <v>564</v>
      </c>
      <c r="K77" s="59"/>
      <c r="L77" s="59"/>
      <c r="M77" s="59"/>
      <c r="N77" s="59"/>
      <c r="O77" s="59"/>
    </row>
    <row r="78" spans="1:15" ht="15">
      <c r="A78" s="51" t="s">
        <v>164</v>
      </c>
      <c r="B78" s="51" t="s">
        <v>267</v>
      </c>
      <c r="C78" s="51" t="s">
        <v>565</v>
      </c>
      <c r="D78" s="51" t="s">
        <v>566</v>
      </c>
      <c r="E78" s="51" t="s">
        <v>108</v>
      </c>
      <c r="F78" s="51" t="s">
        <v>567</v>
      </c>
      <c r="G78" s="51" t="s">
        <v>568</v>
      </c>
      <c r="H78" s="51" t="s">
        <v>569</v>
      </c>
      <c r="I78" s="51" t="s">
        <v>96</v>
      </c>
      <c r="J78" s="51" t="s">
        <v>570</v>
      </c>
      <c r="K78" s="59"/>
      <c r="L78" s="59"/>
      <c r="M78" s="59"/>
      <c r="N78" s="59"/>
      <c r="O78" s="59"/>
    </row>
    <row r="79" spans="1:15" ht="15">
      <c r="A79" s="51" t="s">
        <v>200</v>
      </c>
      <c r="B79" s="51" t="s">
        <v>90</v>
      </c>
      <c r="C79" s="51" t="s">
        <v>571</v>
      </c>
      <c r="D79" s="51" t="s">
        <v>572</v>
      </c>
      <c r="E79" s="51" t="s">
        <v>108</v>
      </c>
      <c r="F79" s="51" t="s">
        <v>573</v>
      </c>
      <c r="G79" s="51" t="s">
        <v>574</v>
      </c>
      <c r="H79" s="51" t="s">
        <v>575</v>
      </c>
      <c r="I79" s="51" t="s">
        <v>121</v>
      </c>
      <c r="J79" s="51" t="s">
        <v>576</v>
      </c>
      <c r="K79" s="59"/>
      <c r="L79" s="59"/>
      <c r="M79" s="59"/>
      <c r="N79" s="59"/>
      <c r="O79" s="59"/>
    </row>
    <row r="80" spans="1:15" ht="15">
      <c r="A80" s="51" t="s">
        <v>79</v>
      </c>
      <c r="B80" s="51" t="s">
        <v>221</v>
      </c>
      <c r="C80" s="51" t="s">
        <v>577</v>
      </c>
      <c r="D80" s="51" t="s">
        <v>578</v>
      </c>
      <c r="E80" s="51" t="s">
        <v>175</v>
      </c>
      <c r="F80" s="51" t="s">
        <v>579</v>
      </c>
      <c r="G80" s="51" t="s">
        <v>580</v>
      </c>
      <c r="H80" s="51" t="s">
        <v>581</v>
      </c>
      <c r="I80" s="51" t="s">
        <v>130</v>
      </c>
      <c r="J80" s="51" t="s">
        <v>582</v>
      </c>
      <c r="K80" s="59"/>
      <c r="L80" s="59"/>
      <c r="M80" s="59"/>
      <c r="N80" s="59"/>
      <c r="O80" s="59"/>
    </row>
    <row r="81" spans="1:15" ht="15">
      <c r="A81" s="51" t="s">
        <v>79</v>
      </c>
      <c r="B81" s="51" t="s">
        <v>253</v>
      </c>
      <c r="C81" s="51" t="s">
        <v>583</v>
      </c>
      <c r="D81" s="51" t="s">
        <v>584</v>
      </c>
      <c r="E81" s="51" t="s">
        <v>248</v>
      </c>
      <c r="F81" s="51" t="s">
        <v>585</v>
      </c>
      <c r="G81" s="51" t="s">
        <v>586</v>
      </c>
      <c r="H81" s="51" t="s">
        <v>587</v>
      </c>
      <c r="I81" s="51" t="s">
        <v>121</v>
      </c>
      <c r="J81" s="51" t="s">
        <v>588</v>
      </c>
      <c r="K81" s="59"/>
      <c r="L81" s="59"/>
      <c r="M81" s="59"/>
      <c r="N81" s="59"/>
      <c r="O81" s="59"/>
    </row>
    <row r="82" spans="1:15" ht="15">
      <c r="A82" s="51" t="s">
        <v>113</v>
      </c>
      <c r="B82" s="51" t="s">
        <v>114</v>
      </c>
      <c r="C82" s="51" t="s">
        <v>589</v>
      </c>
      <c r="D82" s="51" t="s">
        <v>590</v>
      </c>
      <c r="E82" s="51" t="s">
        <v>108</v>
      </c>
      <c r="F82" s="51" t="s">
        <v>591</v>
      </c>
      <c r="G82" s="51" t="s">
        <v>592</v>
      </c>
      <c r="H82" s="51" t="s">
        <v>593</v>
      </c>
      <c r="I82" s="51" t="s">
        <v>130</v>
      </c>
      <c r="J82" s="51" t="s">
        <v>594</v>
      </c>
      <c r="K82" s="59"/>
      <c r="L82" s="59"/>
      <c r="M82" s="59"/>
      <c r="N82" s="59"/>
      <c r="O82" s="59"/>
    </row>
    <row r="83" spans="1:15" ht="15">
      <c r="A83" s="51" t="s">
        <v>164</v>
      </c>
      <c r="B83" s="51" t="s">
        <v>260</v>
      </c>
      <c r="C83" s="51" t="s">
        <v>595</v>
      </c>
      <c r="D83" s="51" t="s">
        <v>596</v>
      </c>
      <c r="E83" s="51" t="s">
        <v>108</v>
      </c>
      <c r="F83" s="51" t="s">
        <v>597</v>
      </c>
      <c r="G83" s="51" t="s">
        <v>598</v>
      </c>
      <c r="H83" s="51" t="s">
        <v>599</v>
      </c>
      <c r="I83" s="51" t="s">
        <v>121</v>
      </c>
      <c r="J83" s="51" t="s">
        <v>600</v>
      </c>
      <c r="K83" s="59"/>
      <c r="L83" s="59"/>
      <c r="M83" s="59"/>
      <c r="N83" s="59"/>
      <c r="O83" s="59"/>
    </row>
    <row r="84" spans="1:15" ht="15">
      <c r="A84" s="51" t="s">
        <v>140</v>
      </c>
      <c r="B84" s="51" t="s">
        <v>267</v>
      </c>
      <c r="C84" s="51" t="s">
        <v>601</v>
      </c>
      <c r="D84" s="51" t="s">
        <v>100</v>
      </c>
      <c r="E84" s="51" t="s">
        <v>203</v>
      </c>
      <c r="F84" s="51" t="s">
        <v>602</v>
      </c>
      <c r="G84" s="51" t="s">
        <v>603</v>
      </c>
      <c r="H84" s="51" t="s">
        <v>604</v>
      </c>
      <c r="I84" s="51" t="s">
        <v>87</v>
      </c>
      <c r="J84" s="51" t="s">
        <v>605</v>
      </c>
      <c r="K84" s="59"/>
      <c r="L84" s="59"/>
      <c r="M84" s="59"/>
      <c r="N84" s="59"/>
      <c r="O84" s="59"/>
    </row>
    <row r="85" spans="1:15" ht="15">
      <c r="A85" s="51" t="s">
        <v>342</v>
      </c>
      <c r="B85" s="51" t="s">
        <v>80</v>
      </c>
      <c r="C85" s="51" t="s">
        <v>606</v>
      </c>
      <c r="D85" s="51" t="s">
        <v>572</v>
      </c>
      <c r="E85" s="51" t="s">
        <v>203</v>
      </c>
      <c r="F85" s="51" t="s">
        <v>607</v>
      </c>
      <c r="G85" s="51" t="s">
        <v>608</v>
      </c>
      <c r="H85" s="51" t="s">
        <v>609</v>
      </c>
      <c r="I85" s="51" t="s">
        <v>130</v>
      </c>
      <c r="J85" s="51" t="s">
        <v>610</v>
      </c>
      <c r="K85" s="59"/>
      <c r="L85" s="59"/>
      <c r="M85" s="59"/>
      <c r="N85" s="59"/>
      <c r="O85" s="59"/>
    </row>
    <row r="86" spans="1:15" ht="15">
      <c r="A86" s="51" t="s">
        <v>148</v>
      </c>
      <c r="B86" s="51" t="s">
        <v>165</v>
      </c>
      <c r="C86" s="51" t="s">
        <v>611</v>
      </c>
      <c r="D86" s="51" t="s">
        <v>612</v>
      </c>
      <c r="E86" s="51" t="s">
        <v>175</v>
      </c>
      <c r="F86" s="51" t="s">
        <v>613</v>
      </c>
      <c r="G86" s="51" t="s">
        <v>614</v>
      </c>
      <c r="H86" s="51" t="s">
        <v>615</v>
      </c>
      <c r="I86" s="51" t="s">
        <v>96</v>
      </c>
      <c r="J86" s="51" t="s">
        <v>616</v>
      </c>
      <c r="K86" s="59"/>
      <c r="L86" s="59"/>
      <c r="M86" s="59"/>
      <c r="N86" s="59"/>
      <c r="O86" s="59"/>
    </row>
    <row r="87" spans="1:15" ht="15">
      <c r="A87" s="51" t="s">
        <v>164</v>
      </c>
      <c r="B87" s="51" t="s">
        <v>105</v>
      </c>
      <c r="C87" s="51" t="s">
        <v>617</v>
      </c>
      <c r="D87" s="51" t="s">
        <v>618</v>
      </c>
      <c r="E87" s="51" t="s">
        <v>126</v>
      </c>
      <c r="F87" s="51" t="s">
        <v>619</v>
      </c>
      <c r="G87" s="51" t="s">
        <v>620</v>
      </c>
      <c r="H87" s="51" t="s">
        <v>621</v>
      </c>
      <c r="I87" s="51" t="s">
        <v>130</v>
      </c>
      <c r="J87" s="51" t="s">
        <v>622</v>
      </c>
      <c r="K87" s="59"/>
      <c r="L87" s="59"/>
      <c r="M87" s="59"/>
      <c r="N87" s="59"/>
      <c r="O87" s="59"/>
    </row>
    <row r="88" spans="1:15" ht="15">
      <c r="A88" s="51" t="s">
        <v>266</v>
      </c>
      <c r="B88" s="51" t="s">
        <v>623</v>
      </c>
      <c r="C88" s="51" t="s">
        <v>624</v>
      </c>
      <c r="D88" s="51" t="s">
        <v>625</v>
      </c>
      <c r="E88" s="51" t="s">
        <v>83</v>
      </c>
      <c r="F88" s="51" t="s">
        <v>626</v>
      </c>
      <c r="G88" s="51" t="s">
        <v>627</v>
      </c>
      <c r="H88" s="51" t="s">
        <v>628</v>
      </c>
      <c r="I88" s="51" t="s">
        <v>155</v>
      </c>
      <c r="J88" s="51" t="s">
        <v>629</v>
      </c>
      <c r="K88" s="59"/>
      <c r="L88" s="59"/>
      <c r="M88" s="59"/>
      <c r="N88" s="59"/>
      <c r="O88" s="59"/>
    </row>
    <row r="89" spans="1:15" ht="15">
      <c r="A89" s="51" t="s">
        <v>132</v>
      </c>
      <c r="B89" s="51" t="s">
        <v>214</v>
      </c>
      <c r="C89" s="51" t="s">
        <v>630</v>
      </c>
      <c r="D89" s="51" t="s">
        <v>631</v>
      </c>
      <c r="E89" s="51" t="s">
        <v>83</v>
      </c>
      <c r="F89" s="51" t="s">
        <v>632</v>
      </c>
      <c r="G89" s="51" t="s">
        <v>633</v>
      </c>
      <c r="H89" s="51" t="s">
        <v>634</v>
      </c>
      <c r="I89" s="51" t="s">
        <v>96</v>
      </c>
      <c r="J89" s="51" t="s">
        <v>635</v>
      </c>
      <c r="K89" s="59"/>
      <c r="L89" s="59"/>
      <c r="M89" s="59"/>
      <c r="N89" s="59"/>
      <c r="O89" s="59"/>
    </row>
    <row r="90" spans="1:15" ht="15">
      <c r="A90" s="51" t="s">
        <v>266</v>
      </c>
      <c r="B90" s="51" t="s">
        <v>90</v>
      </c>
      <c r="C90" s="51" t="s">
        <v>636</v>
      </c>
      <c r="D90" s="51" t="s">
        <v>92</v>
      </c>
      <c r="E90" s="51" t="s">
        <v>68</v>
      </c>
      <c r="F90" s="51" t="s">
        <v>637</v>
      </c>
      <c r="G90" s="51" t="s">
        <v>638</v>
      </c>
      <c r="H90" s="51" t="s">
        <v>639</v>
      </c>
      <c r="I90" s="51" t="s">
        <v>130</v>
      </c>
      <c r="J90" s="51" t="s">
        <v>640</v>
      </c>
      <c r="K90" s="59"/>
      <c r="L90" s="59"/>
      <c r="M90" s="59"/>
      <c r="N90" s="59"/>
      <c r="O90" s="59"/>
    </row>
    <row r="91" spans="1:15" ht="15">
      <c r="A91" s="51" t="s">
        <v>89</v>
      </c>
      <c r="B91" s="51" t="s">
        <v>165</v>
      </c>
      <c r="C91" s="51" t="s">
        <v>641</v>
      </c>
      <c r="D91" s="51" t="s">
        <v>642</v>
      </c>
      <c r="E91" s="51" t="s">
        <v>117</v>
      </c>
      <c r="F91" s="51" t="s">
        <v>643</v>
      </c>
      <c r="G91" s="51" t="s">
        <v>644</v>
      </c>
      <c r="H91" s="51" t="s">
        <v>645</v>
      </c>
      <c r="I91" s="51" t="s">
        <v>96</v>
      </c>
      <c r="J91" s="51" t="s">
        <v>646</v>
      </c>
      <c r="K91" s="59"/>
      <c r="L91" s="59"/>
      <c r="M91" s="59"/>
      <c r="N91" s="59"/>
      <c r="O91" s="59"/>
    </row>
    <row r="92" spans="1:15" ht="15">
      <c r="A92" s="51" t="s">
        <v>79</v>
      </c>
      <c r="B92" s="51" t="s">
        <v>149</v>
      </c>
      <c r="C92" s="51" t="s">
        <v>647</v>
      </c>
      <c r="D92" s="51" t="s">
        <v>648</v>
      </c>
      <c r="E92" s="51" t="s">
        <v>175</v>
      </c>
      <c r="F92" s="51" t="s">
        <v>649</v>
      </c>
      <c r="G92" s="51" t="s">
        <v>650</v>
      </c>
      <c r="H92" s="51" t="s">
        <v>651</v>
      </c>
      <c r="I92" s="51" t="s">
        <v>87</v>
      </c>
      <c r="J92" s="51" t="s">
        <v>652</v>
      </c>
      <c r="K92" s="59"/>
      <c r="L92" s="59"/>
      <c r="M92" s="59"/>
      <c r="N92" s="59"/>
      <c r="O92" s="59"/>
    </row>
    <row r="93" spans="1:15" ht="15">
      <c r="A93" s="51" t="s">
        <v>342</v>
      </c>
      <c r="B93" s="51" t="s">
        <v>165</v>
      </c>
      <c r="C93" s="51" t="s">
        <v>653</v>
      </c>
      <c r="D93" s="51" t="s">
        <v>654</v>
      </c>
      <c r="E93" s="51" t="s">
        <v>68</v>
      </c>
      <c r="F93" s="51" t="s">
        <v>655</v>
      </c>
      <c r="G93" s="51" t="s">
        <v>656</v>
      </c>
      <c r="H93" s="51" t="s">
        <v>657</v>
      </c>
      <c r="I93" s="51" t="s">
        <v>130</v>
      </c>
      <c r="J93" s="51" t="s">
        <v>658</v>
      </c>
      <c r="K93" s="59"/>
      <c r="L93" s="59"/>
      <c r="M93" s="59"/>
      <c r="N93" s="59"/>
      <c r="O93" s="59"/>
    </row>
    <row r="94" spans="1:15" ht="15">
      <c r="A94" s="51" t="s">
        <v>89</v>
      </c>
      <c r="B94" s="51" t="s">
        <v>172</v>
      </c>
      <c r="C94" s="51" t="s">
        <v>659</v>
      </c>
      <c r="D94" s="51" t="s">
        <v>660</v>
      </c>
      <c r="E94" s="51" t="s">
        <v>83</v>
      </c>
      <c r="F94" s="51" t="s">
        <v>661</v>
      </c>
      <c r="G94" s="51" t="s">
        <v>662</v>
      </c>
      <c r="H94" s="51" t="s">
        <v>663</v>
      </c>
      <c r="I94" s="51" t="s">
        <v>96</v>
      </c>
      <c r="J94" s="51" t="s">
        <v>664</v>
      </c>
      <c r="K94" s="59"/>
      <c r="L94" s="59"/>
      <c r="M94" s="59"/>
      <c r="N94" s="59"/>
      <c r="O94" s="59"/>
    </row>
    <row r="95" spans="1:15" ht="15">
      <c r="A95" s="51" t="s">
        <v>113</v>
      </c>
      <c r="B95" s="51" t="s">
        <v>343</v>
      </c>
      <c r="C95" s="51" t="s">
        <v>665</v>
      </c>
      <c r="D95" s="51" t="s">
        <v>666</v>
      </c>
      <c r="E95" s="51" t="s">
        <v>126</v>
      </c>
      <c r="F95" s="51" t="s">
        <v>667</v>
      </c>
      <c r="G95" s="51" t="s">
        <v>668</v>
      </c>
      <c r="H95" s="51" t="s">
        <v>669</v>
      </c>
      <c r="I95" s="51" t="s">
        <v>96</v>
      </c>
      <c r="J95" s="51" t="s">
        <v>670</v>
      </c>
      <c r="K95" s="59"/>
      <c r="L95" s="59"/>
      <c r="M95" s="59"/>
      <c r="N95" s="59"/>
      <c r="O95" s="59"/>
    </row>
    <row r="96" spans="1:15" ht="15">
      <c r="A96" s="51" t="s">
        <v>89</v>
      </c>
      <c r="B96" s="51" t="s">
        <v>623</v>
      </c>
      <c r="C96" s="51" t="s">
        <v>671</v>
      </c>
      <c r="D96" s="51" t="s">
        <v>543</v>
      </c>
      <c r="E96" s="51" t="s">
        <v>108</v>
      </c>
      <c r="F96" s="51" t="s">
        <v>672</v>
      </c>
      <c r="G96" s="51" t="s">
        <v>673</v>
      </c>
      <c r="H96" s="51" t="s">
        <v>674</v>
      </c>
      <c r="I96" s="51" t="s">
        <v>96</v>
      </c>
      <c r="J96" s="51" t="s">
        <v>675</v>
      </c>
      <c r="K96" s="59"/>
      <c r="L96" s="59"/>
      <c r="M96" s="59"/>
      <c r="N96" s="59"/>
      <c r="O96" s="59"/>
    </row>
    <row r="97" spans="1:15" ht="15">
      <c r="A97" s="51" t="s">
        <v>342</v>
      </c>
      <c r="B97" s="51" t="s">
        <v>165</v>
      </c>
      <c r="C97" s="51" t="s">
        <v>676</v>
      </c>
      <c r="D97" s="51" t="s">
        <v>677</v>
      </c>
      <c r="E97" s="51" t="s">
        <v>126</v>
      </c>
      <c r="F97" s="51" t="s">
        <v>678</v>
      </c>
      <c r="G97" s="51" t="s">
        <v>679</v>
      </c>
      <c r="H97" s="51" t="s">
        <v>680</v>
      </c>
      <c r="I97" s="51" t="s">
        <v>87</v>
      </c>
      <c r="J97" s="51" t="s">
        <v>681</v>
      </c>
      <c r="K97" s="59"/>
      <c r="L97" s="59"/>
      <c r="M97" s="59"/>
      <c r="N97" s="59"/>
      <c r="O97" s="59"/>
    </row>
    <row r="98" spans="1:15" ht="15">
      <c r="A98" s="51" t="s">
        <v>89</v>
      </c>
      <c r="B98" s="51" t="s">
        <v>133</v>
      </c>
      <c r="C98" s="51" t="s">
        <v>682</v>
      </c>
      <c r="D98" s="51" t="s">
        <v>683</v>
      </c>
      <c r="E98" s="51" t="s">
        <v>248</v>
      </c>
      <c r="F98" s="51" t="s">
        <v>684</v>
      </c>
      <c r="G98" s="51" t="s">
        <v>685</v>
      </c>
      <c r="H98" s="51" t="s">
        <v>686</v>
      </c>
      <c r="I98" s="51" t="s">
        <v>87</v>
      </c>
      <c r="J98" s="51" t="s">
        <v>687</v>
      </c>
      <c r="K98" s="59"/>
      <c r="L98" s="59"/>
      <c r="M98" s="59"/>
      <c r="N98" s="59"/>
      <c r="O98" s="59"/>
    </row>
    <row r="99" spans="1:15" ht="15">
      <c r="A99" s="51" t="s">
        <v>266</v>
      </c>
      <c r="B99" s="51" t="s">
        <v>260</v>
      </c>
      <c r="C99" s="51" t="s">
        <v>688</v>
      </c>
      <c r="D99" s="51" t="s">
        <v>689</v>
      </c>
      <c r="E99" s="51" t="s">
        <v>83</v>
      </c>
      <c r="F99" s="51" t="s">
        <v>690</v>
      </c>
      <c r="G99" s="51" t="s">
        <v>691</v>
      </c>
      <c r="H99" s="51" t="s">
        <v>692</v>
      </c>
      <c r="I99" s="51" t="s">
        <v>155</v>
      </c>
      <c r="J99" s="51" t="s">
        <v>693</v>
      </c>
      <c r="K99" s="59"/>
      <c r="L99" s="59"/>
      <c r="M99" s="59"/>
      <c r="N99" s="59"/>
      <c r="O99" s="59"/>
    </row>
    <row r="100" spans="1:15" ht="15">
      <c r="A100" s="51" t="s">
        <v>113</v>
      </c>
      <c r="B100" s="51" t="s">
        <v>694</v>
      </c>
      <c r="C100" s="51" t="s">
        <v>695</v>
      </c>
      <c r="D100" s="51" t="s">
        <v>696</v>
      </c>
      <c r="E100" s="51" t="s">
        <v>203</v>
      </c>
      <c r="F100" s="51" t="s">
        <v>697</v>
      </c>
      <c r="G100" s="51" t="s">
        <v>698</v>
      </c>
      <c r="H100" s="51" t="s">
        <v>699</v>
      </c>
      <c r="I100" s="51" t="s">
        <v>130</v>
      </c>
      <c r="J100" s="51" t="s">
        <v>700</v>
      </c>
      <c r="K100" s="59"/>
      <c r="L100" s="59"/>
      <c r="M100" s="59"/>
      <c r="N100" s="59"/>
      <c r="O100" s="59"/>
    </row>
    <row r="101" spans="1:15" ht="15">
      <c r="A101" s="51" t="s">
        <v>342</v>
      </c>
      <c r="B101" s="51" t="s">
        <v>90</v>
      </c>
      <c r="C101" s="51" t="s">
        <v>701</v>
      </c>
      <c r="D101" s="51" t="s">
        <v>92</v>
      </c>
      <c r="E101" s="51" t="s">
        <v>83</v>
      </c>
      <c r="F101" s="51" t="s">
        <v>702</v>
      </c>
      <c r="G101" s="51" t="s">
        <v>703</v>
      </c>
      <c r="H101" s="51" t="s">
        <v>704</v>
      </c>
      <c r="I101" s="51" t="s">
        <v>130</v>
      </c>
      <c r="J101" s="51" t="s">
        <v>705</v>
      </c>
      <c r="K101" s="59"/>
      <c r="L101" s="59"/>
      <c r="M101" s="59"/>
      <c r="N101" s="59"/>
      <c r="O101" s="59"/>
    </row>
    <row r="102" spans="1:15" ht="15">
      <c r="A102" s="51" t="s">
        <v>113</v>
      </c>
      <c r="B102" s="51" t="s">
        <v>694</v>
      </c>
      <c r="C102" s="51" t="s">
        <v>706</v>
      </c>
      <c r="D102" s="51" t="s">
        <v>631</v>
      </c>
      <c r="E102" s="51" t="s">
        <v>126</v>
      </c>
      <c r="F102" s="51" t="s">
        <v>707</v>
      </c>
      <c r="G102" s="51" t="s">
        <v>708</v>
      </c>
      <c r="H102" s="51" t="s">
        <v>709</v>
      </c>
      <c r="I102" s="51" t="s">
        <v>155</v>
      </c>
      <c r="J102" s="51" t="s">
        <v>710</v>
      </c>
      <c r="K102" s="59"/>
      <c r="L102" s="59"/>
      <c r="M102" s="59"/>
      <c r="N102" s="59"/>
      <c r="O102" s="59"/>
    </row>
    <row r="103" spans="1:15" ht="15">
      <c r="A103" s="51" t="s">
        <v>200</v>
      </c>
      <c r="B103" s="51" t="s">
        <v>141</v>
      </c>
      <c r="C103" s="51" t="s">
        <v>711</v>
      </c>
      <c r="D103" s="51" t="s">
        <v>519</v>
      </c>
      <c r="E103" s="51" t="s">
        <v>248</v>
      </c>
      <c r="F103" s="51" t="s">
        <v>712</v>
      </c>
      <c r="G103" s="51" t="s">
        <v>713</v>
      </c>
      <c r="H103" s="51" t="s">
        <v>714</v>
      </c>
      <c r="I103" s="51" t="s">
        <v>155</v>
      </c>
      <c r="J103" s="51" t="s">
        <v>715</v>
      </c>
      <c r="K103" s="59"/>
      <c r="L103" s="59"/>
      <c r="M103" s="59"/>
      <c r="N103" s="59"/>
      <c r="O103" s="59"/>
    </row>
  </sheetData>
  <phoneticPr fontId="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FCA1-6295-4F24-9893-A4E2D8A636CC}">
  <sheetPr codeName="Sheet6"/>
  <dimension ref="A1:M53"/>
  <sheetViews>
    <sheetView zoomScale="125" workbookViewId="0">
      <selection activeCell="D16" sqref="D16"/>
    </sheetView>
  </sheetViews>
  <sheetFormatPr baseColWidth="10" defaultColWidth="8.83203125" defaultRowHeight="14"/>
  <cols>
    <col min="1" max="2" width="12.33203125" style="54" customWidth="1"/>
    <col min="3" max="5" width="12.33203125" customWidth="1"/>
    <col min="6" max="6" width="12.33203125" style="54" customWidth="1"/>
    <col min="7" max="9" width="12.33203125" customWidth="1"/>
    <col min="10" max="13" width="15" customWidth="1"/>
  </cols>
  <sheetData>
    <row r="1" spans="1:13" s="122" customFormat="1" ht="30" customHeight="1">
      <c r="A1" s="124"/>
      <c r="B1" s="124"/>
      <c r="F1" s="124"/>
    </row>
    <row r="2" spans="1:13" s="128" customFormat="1" ht="5.5" customHeight="1">
      <c r="A2" s="130"/>
      <c r="B2" s="130"/>
      <c r="F2" s="130"/>
    </row>
    <row r="3" spans="1:13" ht="17">
      <c r="A3" s="52" t="s">
        <v>716</v>
      </c>
      <c r="B3" s="52" t="s">
        <v>717</v>
      </c>
      <c r="C3" s="50" t="s">
        <v>718</v>
      </c>
      <c r="D3" s="50" t="s">
        <v>719</v>
      </c>
      <c r="E3" s="50" t="s">
        <v>720</v>
      </c>
      <c r="F3" s="52" t="s">
        <v>721</v>
      </c>
      <c r="G3" s="50" t="s">
        <v>722</v>
      </c>
      <c r="H3" s="50" t="s">
        <v>723</v>
      </c>
      <c r="I3" s="50" t="s">
        <v>724</v>
      </c>
      <c r="J3" s="50" t="s">
        <v>755</v>
      </c>
      <c r="K3" s="50" t="s">
        <v>756</v>
      </c>
      <c r="L3" s="50" t="s">
        <v>757</v>
      </c>
      <c r="M3" s="50" t="s">
        <v>758</v>
      </c>
    </row>
    <row r="4" spans="1:13" ht="15">
      <c r="A4" s="53">
        <v>44456.014502314807</v>
      </c>
      <c r="B4" s="53">
        <v>44459.014502314807</v>
      </c>
      <c r="C4" s="51" t="s">
        <v>725</v>
      </c>
      <c r="D4" s="51" t="s">
        <v>726</v>
      </c>
      <c r="E4" s="51" t="s">
        <v>727</v>
      </c>
      <c r="F4" s="53">
        <v>44927</v>
      </c>
      <c r="G4" s="51">
        <v>122</v>
      </c>
      <c r="H4" s="51">
        <v>3508</v>
      </c>
      <c r="I4" s="51">
        <v>8</v>
      </c>
      <c r="J4" s="59"/>
      <c r="K4" s="59"/>
      <c r="L4" s="59"/>
      <c r="M4" s="59"/>
    </row>
    <row r="5" spans="1:13" ht="15">
      <c r="A5" s="53">
        <v>44313.874224537038</v>
      </c>
      <c r="B5" s="53">
        <v>44325.874224537038</v>
      </c>
      <c r="C5" s="51" t="s">
        <v>728</v>
      </c>
      <c r="D5" s="51" t="s">
        <v>728</v>
      </c>
      <c r="E5" s="51" t="s">
        <v>727</v>
      </c>
      <c r="F5" s="53">
        <v>44928</v>
      </c>
      <c r="G5" s="51">
        <v>154</v>
      </c>
      <c r="H5" s="51">
        <v>3130</v>
      </c>
      <c r="I5" s="51">
        <v>20</v>
      </c>
      <c r="J5" s="59"/>
      <c r="K5" s="59"/>
      <c r="L5" s="59"/>
      <c r="M5" s="59"/>
    </row>
    <row r="6" spans="1:13" ht="15">
      <c r="A6" s="53">
        <v>44835.207407407397</v>
      </c>
      <c r="B6" s="53">
        <v>44840.207407407397</v>
      </c>
      <c r="C6" s="51" t="s">
        <v>728</v>
      </c>
      <c r="D6" s="51" t="s">
        <v>728</v>
      </c>
      <c r="E6" s="51" t="s">
        <v>729</v>
      </c>
      <c r="F6" s="53">
        <v>44929</v>
      </c>
      <c r="G6" s="51">
        <v>11</v>
      </c>
      <c r="H6" s="51">
        <v>3905</v>
      </c>
      <c r="I6" s="51">
        <v>12</v>
      </c>
      <c r="J6" s="59"/>
      <c r="K6" s="59"/>
      <c r="L6" s="59"/>
      <c r="M6" s="59"/>
    </row>
    <row r="7" spans="1:13" ht="15">
      <c r="A7" s="53">
        <v>44102.218460648153</v>
      </c>
      <c r="B7" s="53">
        <v>44110.218460648153</v>
      </c>
      <c r="C7" s="51" t="s">
        <v>725</v>
      </c>
      <c r="D7" s="51" t="s">
        <v>730</v>
      </c>
      <c r="E7" s="51" t="s">
        <v>729</v>
      </c>
      <c r="F7" s="53">
        <v>44930</v>
      </c>
      <c r="G7" s="51">
        <v>17</v>
      </c>
      <c r="H7" s="51">
        <v>4039</v>
      </c>
      <c r="I7" s="51">
        <v>20</v>
      </c>
      <c r="J7" s="59"/>
      <c r="K7" s="59"/>
      <c r="L7" s="59"/>
      <c r="M7" s="59"/>
    </row>
    <row r="8" spans="1:13" ht="15">
      <c r="A8" s="53">
        <v>44728.052025462966</v>
      </c>
      <c r="B8" s="53">
        <v>44738.052025462966</v>
      </c>
      <c r="C8" s="51" t="s">
        <v>730</v>
      </c>
      <c r="D8" s="51" t="s">
        <v>725</v>
      </c>
      <c r="E8" s="51" t="s">
        <v>729</v>
      </c>
      <c r="F8" s="53">
        <v>44931</v>
      </c>
      <c r="G8" s="51">
        <v>25</v>
      </c>
      <c r="H8" s="51">
        <v>1893</v>
      </c>
      <c r="I8" s="51">
        <v>9</v>
      </c>
      <c r="J8" s="59"/>
      <c r="K8" s="59"/>
      <c r="L8" s="59"/>
      <c r="M8" s="59"/>
    </row>
    <row r="9" spans="1:13" ht="15">
      <c r="A9" s="53">
        <v>45767.70994212963</v>
      </c>
      <c r="B9" s="53">
        <v>45773.70994212963</v>
      </c>
      <c r="C9" s="51" t="s">
        <v>730</v>
      </c>
      <c r="D9" s="51" t="s">
        <v>725</v>
      </c>
      <c r="E9" s="51" t="s">
        <v>729</v>
      </c>
      <c r="F9" s="53">
        <v>44932</v>
      </c>
      <c r="G9" s="51">
        <v>40</v>
      </c>
      <c r="H9" s="51">
        <v>3277</v>
      </c>
      <c r="I9" s="51">
        <v>12</v>
      </c>
      <c r="J9" s="59"/>
      <c r="K9" s="59"/>
      <c r="L9" s="59"/>
      <c r="M9" s="59"/>
    </row>
    <row r="10" spans="1:13" ht="15">
      <c r="A10" s="53">
        <v>46017.036053240743</v>
      </c>
      <c r="B10" s="53">
        <v>46031.036053240743</v>
      </c>
      <c r="C10" s="51" t="s">
        <v>725</v>
      </c>
      <c r="D10" s="51" t="s">
        <v>725</v>
      </c>
      <c r="E10" s="51" t="s">
        <v>727</v>
      </c>
      <c r="F10" s="53">
        <v>44933</v>
      </c>
      <c r="G10" s="51">
        <v>97</v>
      </c>
      <c r="H10" s="51">
        <v>2944</v>
      </c>
      <c r="I10" s="51">
        <v>6</v>
      </c>
      <c r="J10" s="59"/>
      <c r="K10" s="59"/>
      <c r="L10" s="59"/>
      <c r="M10" s="59"/>
    </row>
    <row r="11" spans="1:13" ht="15">
      <c r="A11" s="53">
        <v>44202.609907407408</v>
      </c>
      <c r="B11" s="53">
        <v>44209.609907407408</v>
      </c>
      <c r="C11" s="51" t="s">
        <v>730</v>
      </c>
      <c r="D11" s="51" t="s">
        <v>728</v>
      </c>
      <c r="E11" s="51" t="s">
        <v>727</v>
      </c>
      <c r="F11" s="53">
        <v>44934</v>
      </c>
      <c r="G11" s="51">
        <v>173</v>
      </c>
      <c r="H11" s="51">
        <v>1568</v>
      </c>
      <c r="I11" s="51">
        <v>18</v>
      </c>
      <c r="J11" s="59"/>
      <c r="K11" s="59"/>
      <c r="L11" s="59"/>
      <c r="M11" s="59"/>
    </row>
    <row r="12" spans="1:13" ht="15">
      <c r="A12" s="53">
        <v>44884.613159722219</v>
      </c>
      <c r="B12" s="53">
        <v>44896.613159722219</v>
      </c>
      <c r="C12" s="51" t="s">
        <v>725</v>
      </c>
      <c r="D12" s="51" t="s">
        <v>725</v>
      </c>
      <c r="E12" s="51" t="s">
        <v>727</v>
      </c>
      <c r="F12" s="53">
        <v>44935</v>
      </c>
      <c r="G12" s="51">
        <v>193</v>
      </c>
      <c r="H12" s="51">
        <v>2749</v>
      </c>
      <c r="I12" s="51">
        <v>14</v>
      </c>
      <c r="J12" s="59"/>
      <c r="K12" s="59"/>
      <c r="L12" s="59"/>
      <c r="M12" s="59"/>
    </row>
    <row r="13" spans="1:13" ht="15">
      <c r="A13" s="53">
        <v>45966.23510416667</v>
      </c>
      <c r="B13" s="53">
        <v>45979.23510416667</v>
      </c>
      <c r="C13" s="51" t="s">
        <v>730</v>
      </c>
      <c r="D13" s="51" t="s">
        <v>726</v>
      </c>
      <c r="E13" s="51" t="s">
        <v>729</v>
      </c>
      <c r="F13" s="53">
        <v>44936</v>
      </c>
      <c r="G13" s="51">
        <v>61</v>
      </c>
      <c r="H13" s="51">
        <v>4168</v>
      </c>
      <c r="I13" s="51">
        <v>21</v>
      </c>
      <c r="J13" s="59"/>
      <c r="K13" s="59"/>
      <c r="L13" s="59"/>
      <c r="M13" s="59"/>
    </row>
    <row r="14" spans="1:13" ht="15">
      <c r="A14" s="53">
        <v>45121.203414351847</v>
      </c>
      <c r="B14" s="53">
        <v>45129.203414351847</v>
      </c>
      <c r="C14" s="51" t="s">
        <v>725</v>
      </c>
      <c r="D14" s="51" t="s">
        <v>730</v>
      </c>
      <c r="E14" s="51" t="s">
        <v>729</v>
      </c>
      <c r="F14" s="53">
        <v>44937</v>
      </c>
      <c r="G14" s="51">
        <v>156</v>
      </c>
      <c r="H14" s="51">
        <v>3658</v>
      </c>
      <c r="I14" s="51">
        <v>17</v>
      </c>
      <c r="J14" s="59"/>
      <c r="K14" s="59"/>
      <c r="L14" s="59"/>
      <c r="M14" s="59"/>
    </row>
    <row r="15" spans="1:13" ht="15">
      <c r="A15" s="53">
        <v>45056.582476851851</v>
      </c>
      <c r="B15" s="53">
        <v>45063.582476851851</v>
      </c>
      <c r="C15" s="51" t="s">
        <v>728</v>
      </c>
      <c r="D15" s="51" t="s">
        <v>728</v>
      </c>
      <c r="E15" s="51" t="s">
        <v>727</v>
      </c>
      <c r="F15" s="53">
        <v>44938</v>
      </c>
      <c r="G15" s="51">
        <v>88</v>
      </c>
      <c r="H15" s="51">
        <v>2560</v>
      </c>
      <c r="I15" s="51">
        <v>16</v>
      </c>
      <c r="J15" s="59"/>
      <c r="K15" s="59"/>
      <c r="L15" s="59"/>
      <c r="M15" s="59"/>
    </row>
    <row r="16" spans="1:13" ht="15">
      <c r="A16" s="53">
        <v>43931.930474537039</v>
      </c>
      <c r="B16" s="53">
        <v>43937.930474537039</v>
      </c>
      <c r="C16" s="51" t="s">
        <v>725</v>
      </c>
      <c r="D16" s="51" t="s">
        <v>726</v>
      </c>
      <c r="E16" s="51" t="s">
        <v>727</v>
      </c>
      <c r="F16" s="53">
        <v>44939</v>
      </c>
      <c r="G16" s="51">
        <v>86</v>
      </c>
      <c r="H16" s="51">
        <v>2221</v>
      </c>
      <c r="I16" s="51">
        <v>16</v>
      </c>
      <c r="J16" s="59"/>
      <c r="K16" s="59"/>
      <c r="L16" s="59"/>
      <c r="M16" s="59"/>
    </row>
    <row r="17" spans="1:13" ht="15">
      <c r="A17" s="53">
        <v>44231.33792824074</v>
      </c>
      <c r="B17" s="53">
        <v>44235.33792824074</v>
      </c>
      <c r="C17" s="51" t="s">
        <v>725</v>
      </c>
      <c r="D17" s="51" t="s">
        <v>725</v>
      </c>
      <c r="E17" s="51" t="s">
        <v>729</v>
      </c>
      <c r="F17" s="53">
        <v>44940</v>
      </c>
      <c r="G17" s="51">
        <v>79</v>
      </c>
      <c r="H17" s="51">
        <v>4877</v>
      </c>
      <c r="I17" s="51">
        <v>13</v>
      </c>
      <c r="J17" s="59"/>
      <c r="K17" s="59"/>
      <c r="L17" s="59"/>
      <c r="M17" s="59"/>
    </row>
    <row r="18" spans="1:13" ht="15">
      <c r="A18" s="53">
        <v>43834.845879629633</v>
      </c>
      <c r="B18" s="53">
        <v>43847.845879629633</v>
      </c>
      <c r="C18" s="51" t="s">
        <v>728</v>
      </c>
      <c r="D18" s="51" t="s">
        <v>730</v>
      </c>
      <c r="E18" s="51" t="s">
        <v>729</v>
      </c>
      <c r="F18" s="53">
        <v>44941</v>
      </c>
      <c r="G18" s="51">
        <v>174</v>
      </c>
      <c r="H18" s="51">
        <v>1528</v>
      </c>
      <c r="I18" s="51">
        <v>19</v>
      </c>
      <c r="J18" s="59"/>
      <c r="K18" s="59"/>
      <c r="L18" s="59"/>
      <c r="M18" s="59"/>
    </row>
    <row r="19" spans="1:13" ht="15">
      <c r="A19" s="53">
        <v>44618.795347222222</v>
      </c>
      <c r="B19" s="53">
        <v>44624.795347222222</v>
      </c>
      <c r="C19" s="51" t="s">
        <v>728</v>
      </c>
      <c r="D19" s="51" t="s">
        <v>726</v>
      </c>
      <c r="E19" s="51" t="s">
        <v>727</v>
      </c>
      <c r="F19" s="53">
        <v>44942</v>
      </c>
      <c r="G19" s="51">
        <v>105</v>
      </c>
      <c r="H19" s="51">
        <v>3292</v>
      </c>
      <c r="I19" s="51">
        <v>8</v>
      </c>
      <c r="J19" s="59"/>
      <c r="K19" s="59"/>
      <c r="L19" s="59"/>
      <c r="M19" s="59"/>
    </row>
    <row r="20" spans="1:13" ht="15">
      <c r="A20" s="53">
        <v>45842.687164351853</v>
      </c>
      <c r="B20" s="53">
        <v>45850.687164351853</v>
      </c>
      <c r="C20" s="51" t="s">
        <v>728</v>
      </c>
      <c r="D20" s="51" t="s">
        <v>726</v>
      </c>
      <c r="E20" s="51" t="s">
        <v>729</v>
      </c>
      <c r="F20" s="53">
        <v>44943</v>
      </c>
      <c r="G20" s="51">
        <v>41</v>
      </c>
      <c r="H20" s="51">
        <v>1315</v>
      </c>
      <c r="I20" s="51">
        <v>3</v>
      </c>
      <c r="J20" s="59"/>
      <c r="K20" s="59"/>
      <c r="L20" s="59"/>
      <c r="M20" s="59"/>
    </row>
    <row r="21" spans="1:13" ht="15">
      <c r="A21" s="53">
        <v>45706.085798611108</v>
      </c>
      <c r="B21" s="53">
        <v>45713.085798611108</v>
      </c>
      <c r="C21" s="51" t="s">
        <v>725</v>
      </c>
      <c r="D21" s="51" t="s">
        <v>728</v>
      </c>
      <c r="E21" s="51" t="s">
        <v>729</v>
      </c>
      <c r="F21" s="53">
        <v>44944</v>
      </c>
      <c r="G21" s="51">
        <v>83</v>
      </c>
      <c r="H21" s="51">
        <v>3221</v>
      </c>
      <c r="I21" s="51">
        <v>16</v>
      </c>
      <c r="J21" s="59"/>
      <c r="K21" s="59"/>
      <c r="L21" s="59"/>
      <c r="M21" s="59"/>
    </row>
    <row r="22" spans="1:13" ht="15">
      <c r="A22" s="53">
        <v>44991.389421296299</v>
      </c>
      <c r="B22" s="53">
        <v>44996.389421296299</v>
      </c>
      <c r="C22" s="51" t="s">
        <v>730</v>
      </c>
      <c r="D22" s="51" t="s">
        <v>728</v>
      </c>
      <c r="E22" s="51" t="s">
        <v>729</v>
      </c>
      <c r="F22" s="53">
        <v>44945</v>
      </c>
      <c r="G22" s="51">
        <v>153</v>
      </c>
      <c r="H22" s="51">
        <v>4419</v>
      </c>
      <c r="I22" s="51">
        <v>22</v>
      </c>
      <c r="J22" s="59"/>
      <c r="K22" s="59"/>
      <c r="L22" s="59"/>
      <c r="M22" s="59"/>
    </row>
    <row r="23" spans="1:13" ht="15">
      <c r="A23" s="53">
        <v>44675.615960648152</v>
      </c>
      <c r="B23" s="53">
        <v>44683.615960648152</v>
      </c>
      <c r="C23" s="51" t="s">
        <v>726</v>
      </c>
      <c r="D23" s="51" t="s">
        <v>728</v>
      </c>
      <c r="E23" s="51" t="s">
        <v>729</v>
      </c>
      <c r="F23" s="53">
        <v>44946</v>
      </c>
      <c r="G23" s="51">
        <v>109</v>
      </c>
      <c r="H23" s="51">
        <v>1999</v>
      </c>
      <c r="I23" s="51">
        <v>14</v>
      </c>
      <c r="J23" s="59"/>
      <c r="K23" s="59"/>
      <c r="L23" s="59"/>
      <c r="M23" s="59"/>
    </row>
    <row r="24" spans="1:13" ht="15">
      <c r="A24" s="53">
        <v>44991.394236111111</v>
      </c>
      <c r="B24" s="53">
        <v>44993.394236111111</v>
      </c>
      <c r="C24" s="51" t="s">
        <v>728</v>
      </c>
      <c r="D24" s="51" t="s">
        <v>725</v>
      </c>
      <c r="E24" s="51" t="s">
        <v>729</v>
      </c>
      <c r="F24" s="53">
        <v>44947</v>
      </c>
      <c r="G24" s="51">
        <v>80</v>
      </c>
      <c r="H24" s="51">
        <v>1683</v>
      </c>
      <c r="I24" s="51">
        <v>10</v>
      </c>
      <c r="J24" s="59"/>
      <c r="K24" s="59"/>
      <c r="L24" s="59"/>
      <c r="M24" s="59"/>
    </row>
    <row r="25" spans="1:13" ht="15">
      <c r="A25" s="53">
        <v>44077.817997685182</v>
      </c>
      <c r="B25" s="53">
        <v>44082.817997685182</v>
      </c>
      <c r="C25" s="51" t="s">
        <v>728</v>
      </c>
      <c r="D25" s="51" t="s">
        <v>726</v>
      </c>
      <c r="E25" s="51" t="s">
        <v>727</v>
      </c>
      <c r="F25" s="53">
        <v>44948</v>
      </c>
      <c r="G25" s="51">
        <v>23</v>
      </c>
      <c r="H25" s="51">
        <v>4208</v>
      </c>
      <c r="I25" s="51">
        <v>21</v>
      </c>
      <c r="J25" s="59"/>
      <c r="K25" s="59"/>
      <c r="L25" s="59"/>
      <c r="M25" s="59"/>
    </row>
    <row r="26" spans="1:13" ht="15">
      <c r="A26" s="53">
        <v>43914.758657407408</v>
      </c>
      <c r="B26" s="53">
        <v>43917.758657407408</v>
      </c>
      <c r="C26" s="51" t="s">
        <v>726</v>
      </c>
      <c r="D26" s="51" t="s">
        <v>730</v>
      </c>
      <c r="E26" s="51" t="s">
        <v>729</v>
      </c>
      <c r="F26" s="53">
        <v>44949</v>
      </c>
      <c r="G26" s="51">
        <v>40</v>
      </c>
      <c r="H26" s="51">
        <v>1386</v>
      </c>
      <c r="I26" s="51">
        <v>20</v>
      </c>
      <c r="J26" s="59"/>
      <c r="K26" s="59"/>
      <c r="L26" s="59"/>
      <c r="M26" s="59"/>
    </row>
    <row r="27" spans="1:13" ht="15">
      <c r="A27" s="53">
        <v>44736.917280092603</v>
      </c>
      <c r="B27" s="53">
        <v>44749.917280092603</v>
      </c>
      <c r="C27" s="51" t="s">
        <v>728</v>
      </c>
      <c r="D27" s="51" t="s">
        <v>725</v>
      </c>
      <c r="E27" s="51" t="s">
        <v>727</v>
      </c>
      <c r="F27" s="53">
        <v>44950</v>
      </c>
      <c r="G27" s="51">
        <v>48</v>
      </c>
      <c r="H27" s="51">
        <v>3862</v>
      </c>
      <c r="I27" s="51">
        <v>0</v>
      </c>
      <c r="J27" s="59"/>
      <c r="K27" s="59"/>
      <c r="L27" s="59"/>
      <c r="M27" s="59"/>
    </row>
    <row r="28" spans="1:13" ht="15">
      <c r="A28" s="53">
        <v>44508.335879629631</v>
      </c>
      <c r="B28" s="53">
        <v>44520.335879629631</v>
      </c>
      <c r="C28" s="51" t="s">
        <v>725</v>
      </c>
      <c r="D28" s="51" t="s">
        <v>725</v>
      </c>
      <c r="E28" s="51" t="s">
        <v>727</v>
      </c>
      <c r="F28" s="53">
        <v>44951</v>
      </c>
      <c r="G28" s="51">
        <v>114</v>
      </c>
      <c r="H28" s="51">
        <v>2348</v>
      </c>
      <c r="I28" s="51">
        <v>12</v>
      </c>
      <c r="J28" s="59"/>
      <c r="K28" s="59"/>
      <c r="L28" s="59"/>
      <c r="M28" s="59"/>
    </row>
    <row r="29" spans="1:13" ht="15">
      <c r="A29" s="53">
        <v>45317.418020833327</v>
      </c>
      <c r="B29" s="53">
        <v>45322.418020833327</v>
      </c>
      <c r="C29" s="51" t="s">
        <v>728</v>
      </c>
      <c r="D29" s="51" t="s">
        <v>728</v>
      </c>
      <c r="E29" s="51" t="s">
        <v>727</v>
      </c>
      <c r="F29" s="53">
        <v>44952</v>
      </c>
      <c r="G29" s="51">
        <v>49</v>
      </c>
      <c r="H29" s="51">
        <v>2206</v>
      </c>
      <c r="I29" s="51">
        <v>11</v>
      </c>
      <c r="J29" s="59"/>
      <c r="K29" s="59"/>
      <c r="L29" s="59"/>
      <c r="M29" s="59"/>
    </row>
    <row r="30" spans="1:13" ht="15">
      <c r="A30" s="53">
        <v>46010.938009259262</v>
      </c>
      <c r="B30" s="53">
        <v>46019.938009259262</v>
      </c>
      <c r="C30" s="51" t="s">
        <v>725</v>
      </c>
      <c r="D30" s="51" t="s">
        <v>730</v>
      </c>
      <c r="E30" s="51" t="s">
        <v>729</v>
      </c>
      <c r="F30" s="53">
        <v>44953</v>
      </c>
      <c r="G30" s="51">
        <v>157</v>
      </c>
      <c r="H30" s="51">
        <v>3404</v>
      </c>
      <c r="I30" s="51">
        <v>13</v>
      </c>
      <c r="J30" s="59"/>
      <c r="K30" s="59"/>
      <c r="L30" s="59"/>
      <c r="M30" s="59"/>
    </row>
    <row r="31" spans="1:13" ht="15">
      <c r="A31" s="53">
        <v>44025.97184027778</v>
      </c>
      <c r="B31" s="53">
        <v>44032.97184027778</v>
      </c>
      <c r="C31" s="51" t="s">
        <v>730</v>
      </c>
      <c r="D31" s="51" t="s">
        <v>726</v>
      </c>
      <c r="E31" s="51" t="s">
        <v>727</v>
      </c>
      <c r="F31" s="53">
        <v>44954</v>
      </c>
      <c r="G31" s="51">
        <v>92</v>
      </c>
      <c r="H31" s="51">
        <v>4094</v>
      </c>
      <c r="I31" s="51">
        <v>6</v>
      </c>
      <c r="J31" s="59"/>
      <c r="K31" s="59"/>
      <c r="L31" s="59"/>
      <c r="M31" s="59"/>
    </row>
    <row r="32" spans="1:13" ht="15">
      <c r="A32" s="53">
        <v>45697.834849537037</v>
      </c>
      <c r="B32" s="53">
        <v>45711.834849537037</v>
      </c>
      <c r="C32" s="51" t="s">
        <v>726</v>
      </c>
      <c r="D32" s="51" t="s">
        <v>728</v>
      </c>
      <c r="E32" s="51" t="s">
        <v>727</v>
      </c>
      <c r="F32" s="53">
        <v>44955</v>
      </c>
      <c r="G32" s="51">
        <v>146</v>
      </c>
      <c r="H32" s="51">
        <v>4022</v>
      </c>
      <c r="I32" s="51">
        <v>10</v>
      </c>
      <c r="J32" s="59"/>
      <c r="K32" s="59"/>
      <c r="L32" s="59"/>
      <c r="M32" s="59"/>
    </row>
    <row r="33" spans="1:13" ht="15">
      <c r="A33" s="53">
        <v>45241.117118055547</v>
      </c>
      <c r="B33" s="53">
        <v>45254.117118055547</v>
      </c>
      <c r="C33" s="51" t="s">
        <v>726</v>
      </c>
      <c r="D33" s="51" t="s">
        <v>725</v>
      </c>
      <c r="E33" s="51" t="s">
        <v>729</v>
      </c>
      <c r="F33" s="53">
        <v>44956</v>
      </c>
      <c r="G33" s="51">
        <v>84</v>
      </c>
      <c r="H33" s="51">
        <v>1024</v>
      </c>
      <c r="I33" s="51">
        <v>10</v>
      </c>
      <c r="J33" s="59"/>
      <c r="K33" s="59"/>
      <c r="L33" s="59"/>
      <c r="M33" s="59"/>
    </row>
    <row r="34" spans="1:13" ht="15">
      <c r="A34" s="53">
        <v>43932.810335648152</v>
      </c>
      <c r="B34" s="53">
        <v>43935.810335648152</v>
      </c>
      <c r="C34" s="51" t="s">
        <v>730</v>
      </c>
      <c r="D34" s="51" t="s">
        <v>726</v>
      </c>
      <c r="E34" s="51" t="s">
        <v>729</v>
      </c>
      <c r="F34" s="53">
        <v>44957</v>
      </c>
      <c r="G34" s="51">
        <v>128</v>
      </c>
      <c r="H34" s="51">
        <v>1489</v>
      </c>
      <c r="I34" s="51">
        <v>7</v>
      </c>
      <c r="J34" s="59"/>
      <c r="K34" s="59"/>
      <c r="L34" s="59"/>
      <c r="M34" s="59"/>
    </row>
    <row r="35" spans="1:13" ht="15">
      <c r="A35" s="53">
        <v>46013.000590277778</v>
      </c>
      <c r="B35" s="53">
        <v>46022.000590277778</v>
      </c>
      <c r="C35" s="51" t="s">
        <v>726</v>
      </c>
      <c r="D35" s="51" t="s">
        <v>725</v>
      </c>
      <c r="E35" s="51" t="s">
        <v>727</v>
      </c>
      <c r="F35" s="53">
        <v>44958</v>
      </c>
      <c r="G35" s="51">
        <v>131</v>
      </c>
      <c r="H35" s="51">
        <v>3879</v>
      </c>
      <c r="I35" s="51" t="s">
        <v>4</v>
      </c>
      <c r="J35" s="59"/>
      <c r="K35" s="59"/>
      <c r="L35" s="59"/>
      <c r="M35" s="59"/>
    </row>
    <row r="36" spans="1:13" ht="15">
      <c r="A36" s="53">
        <v>44113.592962962961</v>
      </c>
      <c r="B36" s="53">
        <v>44126.592962962961</v>
      </c>
      <c r="C36" s="51" t="s">
        <v>728</v>
      </c>
      <c r="D36" s="51" t="s">
        <v>726</v>
      </c>
      <c r="E36" s="51" t="s">
        <v>729</v>
      </c>
      <c r="F36" s="53">
        <v>44959</v>
      </c>
      <c r="G36" s="51">
        <v>50</v>
      </c>
      <c r="H36" s="51">
        <v>1421</v>
      </c>
      <c r="I36" s="51">
        <v>11</v>
      </c>
      <c r="J36" s="59"/>
      <c r="K36" s="59"/>
      <c r="L36" s="59"/>
      <c r="M36" s="59"/>
    </row>
    <row r="37" spans="1:13" ht="15">
      <c r="A37" s="53">
        <v>43888.654907407406</v>
      </c>
      <c r="B37" s="53">
        <v>43896.654907407406</v>
      </c>
      <c r="C37" s="51" t="s">
        <v>726</v>
      </c>
      <c r="D37" s="51" t="s">
        <v>725</v>
      </c>
      <c r="E37" s="51" t="s">
        <v>727</v>
      </c>
      <c r="F37" s="53">
        <v>44960</v>
      </c>
      <c r="G37" s="51">
        <v>77</v>
      </c>
      <c r="H37" s="51">
        <v>4959</v>
      </c>
      <c r="I37" s="51">
        <v>13</v>
      </c>
      <c r="J37" s="59"/>
      <c r="K37" s="59"/>
      <c r="L37" s="59"/>
      <c r="M37" s="59"/>
    </row>
    <row r="38" spans="1:13" ht="15">
      <c r="A38" s="53">
        <v>45263.845983796287</v>
      </c>
      <c r="B38" s="53">
        <v>45271.845983796287</v>
      </c>
      <c r="C38" s="51" t="s">
        <v>726</v>
      </c>
      <c r="D38" s="51" t="s">
        <v>728</v>
      </c>
      <c r="E38" s="51" t="s">
        <v>729</v>
      </c>
      <c r="F38" s="53">
        <v>44961</v>
      </c>
      <c r="G38" s="51">
        <v>80</v>
      </c>
      <c r="H38" s="51">
        <v>2202</v>
      </c>
      <c r="I38" s="51">
        <v>5</v>
      </c>
      <c r="J38" s="59"/>
      <c r="K38" s="59"/>
      <c r="L38" s="59"/>
      <c r="M38" s="59"/>
    </row>
    <row r="39" spans="1:13" ht="15">
      <c r="A39" s="53">
        <v>45786.780775462961</v>
      </c>
      <c r="B39" s="53">
        <v>45792.780775462961</v>
      </c>
      <c r="C39" s="51" t="s">
        <v>726</v>
      </c>
      <c r="D39" s="51" t="s">
        <v>725</v>
      </c>
      <c r="E39" s="51" t="s">
        <v>727</v>
      </c>
      <c r="F39" s="53">
        <v>44962</v>
      </c>
      <c r="G39" s="51">
        <v>198</v>
      </c>
      <c r="H39" s="51">
        <v>4821</v>
      </c>
      <c r="I39" s="51">
        <v>12</v>
      </c>
      <c r="J39" s="59"/>
      <c r="K39" s="59"/>
      <c r="L39" s="59"/>
      <c r="M39" s="59"/>
    </row>
    <row r="40" spans="1:13" ht="15">
      <c r="A40" s="53">
        <v>45354.448067129633</v>
      </c>
      <c r="B40" s="53">
        <v>45361.448067129633</v>
      </c>
      <c r="C40" s="51" t="s">
        <v>726</v>
      </c>
      <c r="D40" s="51" t="s">
        <v>725</v>
      </c>
      <c r="E40" s="51" t="s">
        <v>729</v>
      </c>
      <c r="F40" s="53">
        <v>44963</v>
      </c>
      <c r="G40" s="51">
        <v>64</v>
      </c>
      <c r="H40" s="51">
        <v>1305</v>
      </c>
      <c r="I40" s="51">
        <v>1</v>
      </c>
      <c r="J40" s="59"/>
      <c r="K40" s="59"/>
      <c r="L40" s="59"/>
      <c r="M40" s="59"/>
    </row>
    <row r="41" spans="1:13" ht="15">
      <c r="A41" s="53">
        <v>44754.658379629633</v>
      </c>
      <c r="B41" s="53">
        <v>44763.658379629633</v>
      </c>
      <c r="C41" s="51" t="s">
        <v>730</v>
      </c>
      <c r="D41" s="51" t="s">
        <v>730</v>
      </c>
      <c r="E41" s="51" t="s">
        <v>727</v>
      </c>
      <c r="F41" s="53">
        <v>44964</v>
      </c>
      <c r="G41" s="51">
        <v>198</v>
      </c>
      <c r="H41" s="51">
        <v>2147</v>
      </c>
      <c r="I41" s="51">
        <v>18</v>
      </c>
      <c r="J41" s="59"/>
      <c r="K41" s="59"/>
      <c r="L41" s="59"/>
      <c r="M41" s="59"/>
    </row>
    <row r="42" spans="1:13" ht="15">
      <c r="A42" s="53">
        <v>44619.943136574067</v>
      </c>
      <c r="B42" s="53">
        <v>44624.943136574067</v>
      </c>
      <c r="C42" s="51" t="s">
        <v>725</v>
      </c>
      <c r="D42" s="51" t="s">
        <v>730</v>
      </c>
      <c r="E42" s="51" t="s">
        <v>729</v>
      </c>
      <c r="F42" s="53">
        <v>44965</v>
      </c>
      <c r="G42" s="51">
        <v>116</v>
      </c>
      <c r="H42" s="51">
        <v>2091</v>
      </c>
      <c r="I42" s="51">
        <v>21</v>
      </c>
      <c r="J42" s="59"/>
      <c r="K42" s="59"/>
      <c r="L42" s="59"/>
      <c r="M42" s="59"/>
    </row>
    <row r="43" spans="1:13" ht="15">
      <c r="A43" s="53">
        <v>45406.313611111109</v>
      </c>
      <c r="B43" s="53">
        <v>45412.313611111109</v>
      </c>
      <c r="C43" s="51" t="s">
        <v>728</v>
      </c>
      <c r="D43" s="51" t="s">
        <v>730</v>
      </c>
      <c r="E43" s="51" t="s">
        <v>729</v>
      </c>
      <c r="F43" s="53">
        <v>44966</v>
      </c>
      <c r="G43" s="51">
        <v>48</v>
      </c>
      <c r="H43" s="51">
        <v>4209</v>
      </c>
      <c r="I43" s="51">
        <v>13</v>
      </c>
      <c r="J43" s="59"/>
      <c r="K43" s="59"/>
      <c r="L43" s="59"/>
      <c r="M43" s="59"/>
    </row>
    <row r="44" spans="1:13" ht="15">
      <c r="A44" s="53">
        <v>44262.209305555552</v>
      </c>
      <c r="B44" s="53">
        <v>44270.209305555552</v>
      </c>
      <c r="C44" s="51" t="s">
        <v>726</v>
      </c>
      <c r="D44" s="51" t="s">
        <v>730</v>
      </c>
      <c r="E44" s="51" t="s">
        <v>729</v>
      </c>
      <c r="F44" s="53">
        <v>44967</v>
      </c>
      <c r="G44" s="51">
        <v>21</v>
      </c>
      <c r="H44" s="51">
        <v>2091</v>
      </c>
      <c r="I44" s="51">
        <v>3</v>
      </c>
      <c r="J44" s="59"/>
      <c r="K44" s="59"/>
      <c r="L44" s="59"/>
      <c r="M44" s="59"/>
    </row>
    <row r="45" spans="1:13" ht="15">
      <c r="A45" s="53">
        <v>45008.185196759259</v>
      </c>
      <c r="B45" s="53">
        <v>45013.185196759259</v>
      </c>
      <c r="C45" s="51" t="s">
        <v>726</v>
      </c>
      <c r="D45" s="51" t="s">
        <v>726</v>
      </c>
      <c r="E45" s="51" t="s">
        <v>727</v>
      </c>
      <c r="F45" s="53">
        <v>44968</v>
      </c>
      <c r="G45" s="51">
        <v>50</v>
      </c>
      <c r="H45" s="51">
        <v>3721</v>
      </c>
      <c r="I45" s="51">
        <v>3</v>
      </c>
      <c r="J45" s="59"/>
      <c r="K45" s="59"/>
      <c r="L45" s="59"/>
      <c r="M45" s="59"/>
    </row>
    <row r="46" spans="1:13" ht="15">
      <c r="A46" s="53">
        <v>44563.729814814818</v>
      </c>
      <c r="B46" s="53">
        <v>44565.729814814818</v>
      </c>
      <c r="C46" s="51" t="s">
        <v>728</v>
      </c>
      <c r="D46" s="51" t="s">
        <v>725</v>
      </c>
      <c r="E46" s="51" t="s">
        <v>727</v>
      </c>
      <c r="F46" s="53">
        <v>44969</v>
      </c>
      <c r="G46" s="51">
        <v>53</v>
      </c>
      <c r="H46" s="51">
        <v>1447</v>
      </c>
      <c r="I46" s="51">
        <v>17</v>
      </c>
      <c r="J46" s="59"/>
      <c r="K46" s="59"/>
      <c r="L46" s="59"/>
      <c r="M46" s="59"/>
    </row>
    <row r="47" spans="1:13" ht="15">
      <c r="A47" s="53">
        <v>45097.241354166668</v>
      </c>
      <c r="B47" s="53">
        <v>45103.241354166668</v>
      </c>
      <c r="C47" s="51" t="s">
        <v>730</v>
      </c>
      <c r="D47" s="51" t="s">
        <v>725</v>
      </c>
      <c r="E47" s="51" t="s">
        <v>727</v>
      </c>
      <c r="F47" s="53">
        <v>44970</v>
      </c>
      <c r="G47" s="51">
        <v>199</v>
      </c>
      <c r="H47" s="51">
        <v>1099</v>
      </c>
      <c r="I47" s="51">
        <v>11</v>
      </c>
      <c r="J47" s="59"/>
      <c r="K47" s="59"/>
      <c r="L47" s="59"/>
      <c r="M47" s="59"/>
    </row>
    <row r="48" spans="1:13" ht="15">
      <c r="A48" s="53">
        <v>44006.194537037038</v>
      </c>
      <c r="B48" s="53">
        <v>44016.194537037038</v>
      </c>
      <c r="C48" s="51" t="s">
        <v>726</v>
      </c>
      <c r="D48" s="51" t="s">
        <v>728</v>
      </c>
      <c r="E48" s="51" t="s">
        <v>729</v>
      </c>
      <c r="F48" s="53">
        <v>44971</v>
      </c>
      <c r="G48" s="51">
        <v>65</v>
      </c>
      <c r="H48" s="51">
        <v>4697</v>
      </c>
      <c r="I48" s="51">
        <v>9</v>
      </c>
      <c r="J48" s="59"/>
      <c r="K48" s="59"/>
      <c r="L48" s="59"/>
      <c r="M48" s="59"/>
    </row>
    <row r="49" spans="1:13" ht="15">
      <c r="A49" s="53">
        <v>44995.910833333342</v>
      </c>
      <c r="B49" s="53">
        <v>45000.910833333342</v>
      </c>
      <c r="C49" s="51" t="s">
        <v>730</v>
      </c>
      <c r="D49" s="51" t="s">
        <v>728</v>
      </c>
      <c r="E49" s="51" t="s">
        <v>729</v>
      </c>
      <c r="F49" s="53">
        <v>44972</v>
      </c>
      <c r="G49" s="51">
        <v>188</v>
      </c>
      <c r="H49" s="51">
        <v>3403</v>
      </c>
      <c r="I49" s="51">
        <v>8</v>
      </c>
      <c r="J49" s="59"/>
      <c r="K49" s="59"/>
      <c r="L49" s="59"/>
      <c r="M49" s="59"/>
    </row>
    <row r="50" spans="1:13" ht="15">
      <c r="A50" s="53">
        <v>45148.867662037039</v>
      </c>
      <c r="B50" s="53">
        <v>45154.867662037039</v>
      </c>
      <c r="C50" s="51" t="s">
        <v>726</v>
      </c>
      <c r="D50" s="51" t="s">
        <v>725</v>
      </c>
      <c r="E50" s="51" t="s">
        <v>727</v>
      </c>
      <c r="F50" s="53">
        <v>44973</v>
      </c>
      <c r="G50" s="51">
        <v>179</v>
      </c>
      <c r="H50" s="51">
        <v>3429</v>
      </c>
      <c r="I50" s="51">
        <v>6</v>
      </c>
      <c r="J50" s="59"/>
      <c r="K50" s="59"/>
      <c r="L50" s="59"/>
      <c r="M50" s="59"/>
    </row>
    <row r="51" spans="1:13" ht="15">
      <c r="A51" s="53">
        <v>45737.552199074067</v>
      </c>
      <c r="B51" s="53">
        <v>45746.552199074067</v>
      </c>
      <c r="C51" s="51" t="s">
        <v>726</v>
      </c>
      <c r="D51" s="51" t="s">
        <v>730</v>
      </c>
      <c r="E51" s="51" t="s">
        <v>727</v>
      </c>
      <c r="F51" s="53">
        <v>44974</v>
      </c>
      <c r="G51" s="51">
        <v>121</v>
      </c>
      <c r="H51" s="51">
        <v>4469</v>
      </c>
      <c r="I51" s="51">
        <v>17</v>
      </c>
      <c r="J51" s="59"/>
      <c r="K51" s="59"/>
      <c r="L51" s="59"/>
      <c r="M51" s="59"/>
    </row>
    <row r="52" spans="1:13" ht="15">
      <c r="A52" s="53">
        <v>45089.137696759259</v>
      </c>
      <c r="B52" s="53">
        <v>45096.137696759259</v>
      </c>
      <c r="C52" s="51" t="s">
        <v>730</v>
      </c>
      <c r="D52" s="51" t="s">
        <v>728</v>
      </c>
      <c r="E52" s="51" t="s">
        <v>729</v>
      </c>
      <c r="F52" s="53">
        <v>44975</v>
      </c>
      <c r="G52" s="51">
        <v>144</v>
      </c>
      <c r="H52" s="51">
        <v>1277</v>
      </c>
      <c r="I52" s="51">
        <v>1</v>
      </c>
      <c r="J52" s="59"/>
      <c r="K52" s="59"/>
      <c r="L52" s="59"/>
      <c r="M52" s="59"/>
    </row>
    <row r="53" spans="1:13" ht="15">
      <c r="A53" s="53">
        <v>45196.282581018517</v>
      </c>
      <c r="B53" s="53">
        <v>45202.282581018517</v>
      </c>
      <c r="C53" s="51" t="s">
        <v>725</v>
      </c>
      <c r="D53" s="51" t="s">
        <v>725</v>
      </c>
      <c r="E53" s="51" t="s">
        <v>729</v>
      </c>
      <c r="F53" s="53">
        <v>44976</v>
      </c>
      <c r="G53" s="51">
        <v>132</v>
      </c>
      <c r="H53" s="51">
        <v>4508</v>
      </c>
      <c r="I53" s="51">
        <v>10</v>
      </c>
      <c r="J53" s="59"/>
      <c r="K53" s="59"/>
      <c r="L53" s="59"/>
      <c r="M53" s="59"/>
    </row>
  </sheetData>
  <phoneticPr fontId="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DFE2C-E8E3-4B10-867A-4542F7C080A5}">
  <sheetPr codeName="Sheet7"/>
  <dimension ref="A1:S53"/>
  <sheetViews>
    <sheetView zoomScale="150" zoomScaleNormal="85" workbookViewId="0">
      <selection activeCell="A3" sqref="A3"/>
    </sheetView>
  </sheetViews>
  <sheetFormatPr baseColWidth="10" defaultColWidth="8.6640625" defaultRowHeight="14"/>
  <cols>
    <col min="1" max="10" width="10.83203125" style="57" customWidth="1"/>
    <col min="11" max="16" width="16.1640625" style="57" customWidth="1"/>
    <col min="17" max="17" width="5" style="57" customWidth="1"/>
    <col min="18" max="18" width="16.5" style="57" bestFit="1" customWidth="1"/>
    <col min="19" max="19" width="15.33203125" style="57" customWidth="1"/>
    <col min="20" max="16384" width="8.6640625" style="57"/>
  </cols>
  <sheetData>
    <row r="1" spans="1:19" s="125" customFormat="1" ht="30" customHeight="1"/>
    <row r="2" spans="1:19" s="131" customFormat="1" ht="5.5" customHeight="1"/>
    <row r="3" spans="1:19" ht="15">
      <c r="A3" s="55" t="s">
        <v>69</v>
      </c>
      <c r="B3" s="56" t="s">
        <v>731</v>
      </c>
      <c r="C3" s="56" t="s">
        <v>732</v>
      </c>
      <c r="D3" s="56" t="s">
        <v>733</v>
      </c>
      <c r="E3" s="56" t="s">
        <v>734</v>
      </c>
      <c r="F3" s="56" t="s">
        <v>735</v>
      </c>
      <c r="G3" s="56" t="s">
        <v>736</v>
      </c>
      <c r="H3" s="56" t="s">
        <v>737</v>
      </c>
      <c r="I3" s="56" t="s">
        <v>738</v>
      </c>
      <c r="J3" s="56" t="s">
        <v>739</v>
      </c>
      <c r="K3" s="56" t="s">
        <v>752</v>
      </c>
      <c r="L3" s="56" t="s">
        <v>753</v>
      </c>
      <c r="M3" s="56" t="s">
        <v>750</v>
      </c>
      <c r="N3" s="56" t="s">
        <v>754</v>
      </c>
      <c r="O3" s="56" t="s">
        <v>751</v>
      </c>
      <c r="P3" s="56" t="s">
        <v>751</v>
      </c>
      <c r="R3" s="56" t="s">
        <v>764</v>
      </c>
      <c r="S3" s="56" t="s">
        <v>771</v>
      </c>
    </row>
    <row r="4" spans="1:19" ht="15">
      <c r="A4" s="58" t="s">
        <v>740</v>
      </c>
      <c r="B4" s="58">
        <v>88</v>
      </c>
      <c r="C4" s="58">
        <v>285083</v>
      </c>
      <c r="D4" s="58">
        <v>9</v>
      </c>
      <c r="E4" s="58">
        <v>2</v>
      </c>
      <c r="F4" s="58">
        <v>45</v>
      </c>
      <c r="G4" s="58">
        <v>99</v>
      </c>
      <c r="H4" s="58">
        <v>88</v>
      </c>
      <c r="I4" s="58">
        <v>1</v>
      </c>
      <c r="J4" s="58">
        <v>12</v>
      </c>
      <c r="K4" s="61"/>
      <c r="L4" s="62"/>
      <c r="M4" s="62"/>
      <c r="N4" s="62"/>
      <c r="O4" s="62"/>
      <c r="P4" s="62"/>
      <c r="R4" s="63" t="s">
        <v>765</v>
      </c>
      <c r="S4" s="60"/>
    </row>
    <row r="5" spans="1:19" ht="15">
      <c r="A5" s="58" t="s">
        <v>741</v>
      </c>
      <c r="B5" s="58">
        <v>66</v>
      </c>
      <c r="C5" s="58">
        <v>167950</v>
      </c>
      <c r="D5" s="58">
        <v>8.9</v>
      </c>
      <c r="E5" s="58">
        <v>27</v>
      </c>
      <c r="F5" s="58">
        <v>40</v>
      </c>
      <c r="G5" s="58">
        <v>75</v>
      </c>
      <c r="H5" s="58">
        <v>65</v>
      </c>
      <c r="I5" s="58">
        <v>5</v>
      </c>
      <c r="J5" s="58">
        <v>50</v>
      </c>
      <c r="K5" s="61"/>
      <c r="L5" s="62"/>
      <c r="M5" s="62"/>
      <c r="N5" s="62"/>
      <c r="O5" s="62"/>
      <c r="P5" s="62"/>
      <c r="R5" s="63" t="s">
        <v>766</v>
      </c>
      <c r="S5" s="60"/>
    </row>
    <row r="6" spans="1:19" ht="15">
      <c r="A6" s="58" t="s">
        <v>741</v>
      </c>
      <c r="B6" s="58">
        <v>66</v>
      </c>
      <c r="C6" s="58">
        <v>458190</v>
      </c>
      <c r="D6" s="58">
        <v>2</v>
      </c>
      <c r="E6" s="58">
        <v>22</v>
      </c>
      <c r="F6" s="58">
        <v>46</v>
      </c>
      <c r="G6" s="58">
        <v>81</v>
      </c>
      <c r="H6" s="58">
        <v>88</v>
      </c>
      <c r="I6" s="58">
        <v>7</v>
      </c>
      <c r="J6" s="58">
        <v>8</v>
      </c>
      <c r="K6" s="61"/>
      <c r="L6" s="62"/>
      <c r="M6" s="62"/>
      <c r="N6" s="62"/>
      <c r="O6" s="62"/>
      <c r="P6" s="62"/>
      <c r="R6" s="63" t="s">
        <v>767</v>
      </c>
      <c r="S6" s="60"/>
    </row>
    <row r="7" spans="1:19" ht="15">
      <c r="A7" s="58" t="s">
        <v>742</v>
      </c>
      <c r="B7" s="58">
        <v>71</v>
      </c>
      <c r="C7" s="58">
        <v>376350</v>
      </c>
      <c r="D7" s="58">
        <v>3</v>
      </c>
      <c r="E7" s="58">
        <v>29</v>
      </c>
      <c r="F7" s="58">
        <v>49</v>
      </c>
      <c r="G7" s="58">
        <v>79</v>
      </c>
      <c r="H7" s="58">
        <v>51</v>
      </c>
      <c r="I7" s="58">
        <v>1</v>
      </c>
      <c r="J7" s="58">
        <v>25</v>
      </c>
      <c r="K7" s="61"/>
      <c r="L7" s="62"/>
      <c r="M7" s="62"/>
      <c r="N7" s="62"/>
      <c r="O7" s="62"/>
      <c r="P7" s="62"/>
      <c r="R7" s="63" t="s">
        <v>768</v>
      </c>
      <c r="S7" s="60"/>
    </row>
    <row r="8" spans="1:19" ht="15">
      <c r="A8" s="58" t="s">
        <v>743</v>
      </c>
      <c r="B8" s="58">
        <v>61</v>
      </c>
      <c r="C8" s="58">
        <v>199747</v>
      </c>
      <c r="D8" s="58">
        <v>8.4</v>
      </c>
      <c r="E8" s="58">
        <v>3</v>
      </c>
      <c r="F8" s="58">
        <v>48</v>
      </c>
      <c r="G8" s="58">
        <v>91</v>
      </c>
      <c r="H8" s="58">
        <v>75</v>
      </c>
      <c r="I8" s="58">
        <v>9</v>
      </c>
      <c r="J8" s="58">
        <v>16</v>
      </c>
      <c r="K8" s="61"/>
      <c r="L8" s="62"/>
      <c r="M8" s="62"/>
      <c r="N8" s="62"/>
      <c r="O8" s="62"/>
      <c r="P8" s="62"/>
      <c r="R8" s="63" t="s">
        <v>769</v>
      </c>
      <c r="S8" s="60"/>
    </row>
    <row r="9" spans="1:19" ht="15">
      <c r="A9" s="58" t="s">
        <v>741</v>
      </c>
      <c r="B9" s="58">
        <v>50</v>
      </c>
      <c r="C9" s="58">
        <v>27284</v>
      </c>
      <c r="D9" s="58">
        <v>6</v>
      </c>
      <c r="E9" s="58">
        <v>4</v>
      </c>
      <c r="F9" s="58">
        <v>21</v>
      </c>
      <c r="G9" s="58">
        <v>81</v>
      </c>
      <c r="H9" s="58">
        <v>53</v>
      </c>
      <c r="I9" s="58">
        <v>10</v>
      </c>
      <c r="J9" s="58">
        <v>26</v>
      </c>
      <c r="K9" s="61"/>
      <c r="L9" s="62"/>
      <c r="M9" s="62"/>
      <c r="N9" s="62"/>
      <c r="O9" s="62"/>
      <c r="P9" s="62"/>
      <c r="R9" s="63" t="s">
        <v>770</v>
      </c>
      <c r="S9" s="60"/>
    </row>
    <row r="10" spans="1:19" ht="15">
      <c r="A10" s="58" t="s">
        <v>742</v>
      </c>
      <c r="B10" s="58">
        <v>79</v>
      </c>
      <c r="C10" s="58">
        <v>472948</v>
      </c>
      <c r="D10" s="58">
        <v>5</v>
      </c>
      <c r="E10" s="58">
        <v>5</v>
      </c>
      <c r="F10" s="58">
        <v>30</v>
      </c>
      <c r="G10" s="58">
        <v>82</v>
      </c>
      <c r="H10" s="58">
        <v>65</v>
      </c>
      <c r="I10" s="58">
        <v>8</v>
      </c>
      <c r="J10" s="58">
        <v>37</v>
      </c>
      <c r="K10" s="61"/>
      <c r="L10" s="62"/>
      <c r="M10" s="62"/>
      <c r="N10" s="62"/>
      <c r="O10" s="62"/>
      <c r="P10" s="62"/>
    </row>
    <row r="11" spans="1:19" ht="15">
      <c r="A11" s="58" t="s">
        <v>744</v>
      </c>
      <c r="B11" s="58">
        <v>72</v>
      </c>
      <c r="C11" s="58">
        <v>107675</v>
      </c>
      <c r="D11" s="58">
        <v>2.6</v>
      </c>
      <c r="E11" s="58">
        <v>10</v>
      </c>
      <c r="F11" s="58">
        <v>48</v>
      </c>
      <c r="G11" s="58">
        <v>69</v>
      </c>
      <c r="H11" s="58">
        <v>57</v>
      </c>
      <c r="I11" s="58">
        <v>6</v>
      </c>
      <c r="J11" s="58">
        <v>36</v>
      </c>
      <c r="K11" s="61"/>
      <c r="L11" s="62"/>
      <c r="M11" s="62"/>
      <c r="N11" s="62"/>
      <c r="O11" s="62"/>
      <c r="P11" s="62"/>
    </row>
    <row r="12" spans="1:19" ht="15">
      <c r="A12" s="58" t="s">
        <v>741</v>
      </c>
      <c r="B12" s="58">
        <v>50</v>
      </c>
      <c r="C12" s="58">
        <v>312021</v>
      </c>
      <c r="D12" s="58">
        <v>9.8000000000000007</v>
      </c>
      <c r="E12" s="58">
        <v>5</v>
      </c>
      <c r="F12" s="58">
        <v>44</v>
      </c>
      <c r="G12" s="58">
        <v>86</v>
      </c>
      <c r="H12" s="58">
        <v>61</v>
      </c>
      <c r="I12" s="58">
        <v>7</v>
      </c>
      <c r="J12" s="58">
        <v>44</v>
      </c>
      <c r="K12" s="61"/>
      <c r="L12" s="62"/>
      <c r="M12" s="62"/>
      <c r="N12" s="62"/>
      <c r="O12" s="62"/>
      <c r="P12" s="62"/>
    </row>
    <row r="13" spans="1:19" ht="15">
      <c r="A13" s="58" t="s">
        <v>740</v>
      </c>
      <c r="B13" s="58">
        <v>66</v>
      </c>
      <c r="C13" s="58">
        <v>117637</v>
      </c>
      <c r="D13" s="58">
        <v>6.5</v>
      </c>
      <c r="E13" s="58">
        <v>3</v>
      </c>
      <c r="F13" s="58">
        <v>59</v>
      </c>
      <c r="G13" s="58">
        <v>75</v>
      </c>
      <c r="H13" s="58">
        <v>98</v>
      </c>
      <c r="I13" s="58">
        <v>3</v>
      </c>
      <c r="J13" s="58">
        <v>35</v>
      </c>
      <c r="K13" s="61"/>
      <c r="L13" s="62"/>
      <c r="M13" s="62"/>
      <c r="N13" s="62"/>
      <c r="O13" s="62"/>
      <c r="P13" s="62"/>
    </row>
    <row r="14" spans="1:19" ht="15">
      <c r="A14" s="58" t="s">
        <v>744</v>
      </c>
      <c r="B14" s="58">
        <v>84</v>
      </c>
      <c r="C14" s="58">
        <v>119056</v>
      </c>
      <c r="D14" s="58">
        <v>9.1</v>
      </c>
      <c r="E14" s="58">
        <v>1</v>
      </c>
      <c r="F14" s="58">
        <v>29</v>
      </c>
      <c r="G14" s="58">
        <v>97</v>
      </c>
      <c r="H14" s="58">
        <v>66</v>
      </c>
      <c r="I14" s="58">
        <v>3</v>
      </c>
      <c r="J14" s="58">
        <v>40</v>
      </c>
      <c r="K14" s="61"/>
      <c r="L14" s="62"/>
      <c r="M14" s="62"/>
      <c r="N14" s="62"/>
      <c r="O14" s="62"/>
      <c r="P14" s="62"/>
    </row>
    <row r="15" spans="1:19" ht="15">
      <c r="A15" s="58" t="s">
        <v>745</v>
      </c>
      <c r="B15" s="58">
        <v>64</v>
      </c>
      <c r="C15" s="58">
        <v>360854</v>
      </c>
      <c r="D15" s="58">
        <v>6.6</v>
      </c>
      <c r="E15" s="58">
        <v>14</v>
      </c>
      <c r="F15" s="58">
        <v>21</v>
      </c>
      <c r="G15" s="58">
        <v>51</v>
      </c>
      <c r="H15" s="58">
        <v>98</v>
      </c>
      <c r="I15" s="58">
        <v>3</v>
      </c>
      <c r="J15" s="58">
        <v>44</v>
      </c>
      <c r="K15" s="61"/>
      <c r="L15" s="62"/>
      <c r="M15" s="62"/>
      <c r="N15" s="62"/>
      <c r="O15" s="62"/>
      <c r="P15" s="62"/>
    </row>
    <row r="16" spans="1:19" ht="15">
      <c r="A16" s="58" t="s">
        <v>740</v>
      </c>
      <c r="B16" s="58">
        <v>68</v>
      </c>
      <c r="C16" s="58">
        <v>402514</v>
      </c>
      <c r="D16" s="58">
        <v>8.1999999999999993</v>
      </c>
      <c r="E16" s="58">
        <v>3</v>
      </c>
      <c r="F16" s="58">
        <v>43</v>
      </c>
      <c r="G16" s="58">
        <v>100</v>
      </c>
      <c r="H16" s="58">
        <v>63</v>
      </c>
      <c r="I16" s="58">
        <v>3</v>
      </c>
      <c r="J16" s="58">
        <v>11</v>
      </c>
      <c r="K16" s="61"/>
      <c r="L16" s="62"/>
      <c r="M16" s="62"/>
      <c r="N16" s="62"/>
      <c r="O16" s="62"/>
      <c r="P16" s="62"/>
    </row>
    <row r="17" spans="1:16" ht="15">
      <c r="A17" s="58" t="s">
        <v>746</v>
      </c>
      <c r="B17" s="58">
        <v>72</v>
      </c>
      <c r="C17" s="58">
        <v>192145</v>
      </c>
      <c r="D17" s="58">
        <v>3.4</v>
      </c>
      <c r="E17" s="58">
        <v>18</v>
      </c>
      <c r="F17" s="58">
        <v>24</v>
      </c>
      <c r="G17" s="58">
        <v>94</v>
      </c>
      <c r="H17" s="58">
        <v>68</v>
      </c>
      <c r="I17" s="58">
        <v>3</v>
      </c>
      <c r="J17" s="58">
        <v>31</v>
      </c>
      <c r="K17" s="61"/>
      <c r="L17" s="62"/>
      <c r="M17" s="62"/>
      <c r="N17" s="62"/>
      <c r="O17" s="62"/>
      <c r="P17" s="62"/>
    </row>
    <row r="18" spans="1:16" ht="15">
      <c r="A18" s="58" t="s">
        <v>740</v>
      </c>
      <c r="B18" s="58">
        <v>62</v>
      </c>
      <c r="C18" s="58">
        <v>388653</v>
      </c>
      <c r="D18" s="58">
        <v>9.1</v>
      </c>
      <c r="E18" s="58">
        <v>27</v>
      </c>
      <c r="F18" s="58">
        <v>58</v>
      </c>
      <c r="G18" s="58">
        <v>93</v>
      </c>
      <c r="H18" s="58">
        <v>81</v>
      </c>
      <c r="I18" s="58">
        <v>3</v>
      </c>
      <c r="J18" s="58">
        <v>10</v>
      </c>
      <c r="K18" s="61"/>
      <c r="L18" s="62"/>
      <c r="M18" s="62"/>
      <c r="N18" s="62"/>
      <c r="O18" s="62"/>
      <c r="P18" s="62"/>
    </row>
    <row r="19" spans="1:16" ht="15">
      <c r="A19" s="58" t="s">
        <v>744</v>
      </c>
      <c r="B19" s="58">
        <v>68</v>
      </c>
      <c r="C19" s="58">
        <v>329899</v>
      </c>
      <c r="D19" s="58">
        <v>6.2</v>
      </c>
      <c r="E19" s="58">
        <v>17</v>
      </c>
      <c r="F19" s="58">
        <v>47</v>
      </c>
      <c r="G19" s="58">
        <v>86</v>
      </c>
      <c r="H19" s="58">
        <v>62</v>
      </c>
      <c r="I19" s="58">
        <v>5</v>
      </c>
      <c r="J19" s="58">
        <v>45</v>
      </c>
      <c r="K19" s="61"/>
      <c r="L19" s="62"/>
      <c r="M19" s="62"/>
      <c r="N19" s="62"/>
      <c r="O19" s="62"/>
      <c r="P19" s="62"/>
    </row>
    <row r="20" spans="1:16" ht="15">
      <c r="A20" s="58" t="s">
        <v>744</v>
      </c>
      <c r="B20" s="58">
        <v>52</v>
      </c>
      <c r="C20" s="58">
        <v>103517</v>
      </c>
      <c r="D20" s="58">
        <v>2.2999999999999998</v>
      </c>
      <c r="E20" s="58">
        <v>17</v>
      </c>
      <c r="F20" s="58">
        <v>39</v>
      </c>
      <c r="G20" s="58">
        <v>100</v>
      </c>
      <c r="H20" s="58">
        <v>85</v>
      </c>
      <c r="I20" s="58">
        <v>4</v>
      </c>
      <c r="J20" s="58">
        <v>8</v>
      </c>
      <c r="K20" s="61"/>
      <c r="L20" s="62"/>
      <c r="M20" s="62"/>
      <c r="N20" s="62"/>
      <c r="O20" s="62"/>
      <c r="P20" s="62"/>
    </row>
    <row r="21" spans="1:16" ht="15">
      <c r="A21" s="58" t="s">
        <v>745</v>
      </c>
      <c r="B21" s="58">
        <v>93</v>
      </c>
      <c r="C21" s="58">
        <v>489268</v>
      </c>
      <c r="D21" s="58">
        <v>9.3000000000000007</v>
      </c>
      <c r="E21" s="58">
        <v>12</v>
      </c>
      <c r="F21" s="58">
        <v>31</v>
      </c>
      <c r="G21" s="58">
        <v>98</v>
      </c>
      <c r="H21" s="58">
        <v>55</v>
      </c>
      <c r="I21" s="58">
        <v>8</v>
      </c>
      <c r="J21" s="58">
        <v>2</v>
      </c>
      <c r="K21" s="61"/>
      <c r="L21" s="62"/>
      <c r="M21" s="62"/>
      <c r="N21" s="62"/>
      <c r="O21" s="62"/>
      <c r="P21" s="62"/>
    </row>
    <row r="22" spans="1:16" ht="15">
      <c r="A22" s="58" t="s">
        <v>745</v>
      </c>
      <c r="B22" s="58">
        <v>76</v>
      </c>
      <c r="C22" s="58">
        <v>227028</v>
      </c>
      <c r="D22" s="58">
        <v>3</v>
      </c>
      <c r="E22" s="58">
        <v>11</v>
      </c>
      <c r="F22" s="58">
        <v>36</v>
      </c>
      <c r="G22" s="58">
        <v>78</v>
      </c>
      <c r="H22" s="58">
        <v>89</v>
      </c>
      <c r="I22" s="58">
        <v>4</v>
      </c>
      <c r="J22" s="58">
        <v>1</v>
      </c>
      <c r="K22" s="61"/>
      <c r="L22" s="62"/>
      <c r="M22" s="62"/>
      <c r="N22" s="62"/>
      <c r="O22" s="62"/>
      <c r="P22" s="62"/>
    </row>
    <row r="23" spans="1:16" ht="15">
      <c r="A23" s="58" t="s">
        <v>745</v>
      </c>
      <c r="B23" s="58">
        <v>93</v>
      </c>
      <c r="C23" s="58">
        <v>274925</v>
      </c>
      <c r="D23" s="58">
        <v>4.5999999999999996</v>
      </c>
      <c r="E23" s="58">
        <v>20</v>
      </c>
      <c r="F23" s="58">
        <v>25</v>
      </c>
      <c r="G23" s="58">
        <v>59</v>
      </c>
      <c r="H23" s="58">
        <v>52</v>
      </c>
      <c r="I23" s="58">
        <v>3</v>
      </c>
      <c r="J23" s="58">
        <v>12</v>
      </c>
      <c r="K23" s="61"/>
      <c r="L23" s="62"/>
      <c r="M23" s="62"/>
      <c r="N23" s="62"/>
      <c r="O23" s="62"/>
      <c r="P23" s="62"/>
    </row>
    <row r="24" spans="1:16" ht="15">
      <c r="A24" s="58" t="s">
        <v>741</v>
      </c>
      <c r="B24" s="58">
        <v>81</v>
      </c>
      <c r="C24" s="58">
        <v>213414</v>
      </c>
      <c r="D24" s="58">
        <v>5.3</v>
      </c>
      <c r="E24" s="58">
        <v>16</v>
      </c>
      <c r="F24" s="58">
        <v>31</v>
      </c>
      <c r="G24" s="58">
        <v>72</v>
      </c>
      <c r="H24" s="58">
        <v>84</v>
      </c>
      <c r="I24" s="58">
        <v>3</v>
      </c>
      <c r="J24" s="58">
        <v>22</v>
      </c>
      <c r="K24" s="61"/>
      <c r="L24" s="62"/>
      <c r="M24" s="62"/>
      <c r="N24" s="62"/>
      <c r="O24" s="62"/>
      <c r="P24" s="62"/>
    </row>
    <row r="25" spans="1:16" ht="15">
      <c r="A25" s="58" t="s">
        <v>747</v>
      </c>
      <c r="B25" s="58">
        <v>91</v>
      </c>
      <c r="C25" s="58">
        <v>117465</v>
      </c>
      <c r="D25" s="58">
        <v>4.9000000000000004</v>
      </c>
      <c r="E25" s="58">
        <v>23</v>
      </c>
      <c r="F25" s="58">
        <v>45</v>
      </c>
      <c r="G25" s="58">
        <v>50</v>
      </c>
      <c r="H25" s="58">
        <v>67</v>
      </c>
      <c r="I25" s="58">
        <v>9</v>
      </c>
      <c r="J25" s="58">
        <v>41</v>
      </c>
      <c r="K25" s="61"/>
      <c r="L25" s="62"/>
      <c r="M25" s="62"/>
      <c r="N25" s="62"/>
      <c r="O25" s="62"/>
      <c r="P25" s="62"/>
    </row>
    <row r="26" spans="1:16" ht="15">
      <c r="A26" s="58" t="s">
        <v>742</v>
      </c>
      <c r="B26" s="58">
        <v>63</v>
      </c>
      <c r="C26" s="58">
        <v>189844</v>
      </c>
      <c r="D26" s="58">
        <v>5.0999999999999996</v>
      </c>
      <c r="E26" s="58">
        <v>22</v>
      </c>
      <c r="F26" s="58">
        <v>39</v>
      </c>
      <c r="G26" s="58">
        <v>59</v>
      </c>
      <c r="H26" s="58">
        <v>71</v>
      </c>
      <c r="I26" s="58">
        <v>10</v>
      </c>
      <c r="J26" s="58">
        <v>34</v>
      </c>
      <c r="K26" s="61"/>
      <c r="L26" s="62"/>
      <c r="M26" s="62"/>
      <c r="N26" s="62"/>
      <c r="O26" s="62"/>
      <c r="P26" s="62"/>
    </row>
    <row r="27" spans="1:16" ht="15">
      <c r="A27" s="58" t="s">
        <v>748</v>
      </c>
      <c r="B27" s="58">
        <v>75</v>
      </c>
      <c r="C27" s="58">
        <v>150821</v>
      </c>
      <c r="D27" s="58">
        <v>6.2</v>
      </c>
      <c r="E27" s="58">
        <v>17</v>
      </c>
      <c r="F27" s="58">
        <v>51</v>
      </c>
      <c r="G27" s="58">
        <v>66</v>
      </c>
      <c r="H27" s="58">
        <v>91</v>
      </c>
      <c r="I27" s="58">
        <v>4</v>
      </c>
      <c r="J27" s="58">
        <v>23</v>
      </c>
      <c r="K27" s="61"/>
      <c r="L27" s="62"/>
      <c r="M27" s="62"/>
      <c r="N27" s="62"/>
      <c r="O27" s="62"/>
      <c r="P27" s="62"/>
    </row>
    <row r="28" spans="1:16" ht="15">
      <c r="A28" s="58" t="s">
        <v>740</v>
      </c>
      <c r="B28" s="58">
        <v>95</v>
      </c>
      <c r="C28" s="58">
        <v>261378</v>
      </c>
      <c r="D28" s="58">
        <v>8.6999999999999993</v>
      </c>
      <c r="E28" s="58">
        <v>4</v>
      </c>
      <c r="F28" s="58">
        <v>32</v>
      </c>
      <c r="G28" s="58">
        <v>99</v>
      </c>
      <c r="H28" s="58">
        <v>67</v>
      </c>
      <c r="I28" s="58">
        <v>5</v>
      </c>
      <c r="J28" s="58">
        <v>19</v>
      </c>
      <c r="K28" s="61"/>
      <c r="L28" s="62"/>
      <c r="M28" s="62"/>
      <c r="N28" s="62"/>
      <c r="O28" s="62"/>
      <c r="P28" s="62"/>
    </row>
    <row r="29" spans="1:16" ht="15">
      <c r="A29" s="58" t="s">
        <v>747</v>
      </c>
      <c r="B29" s="58">
        <v>70</v>
      </c>
      <c r="C29" s="58">
        <v>30930</v>
      </c>
      <c r="D29" s="58">
        <v>3.1</v>
      </c>
      <c r="E29" s="58">
        <v>10</v>
      </c>
      <c r="F29" s="58">
        <v>34</v>
      </c>
      <c r="G29" s="58">
        <v>99</v>
      </c>
      <c r="H29" s="58">
        <v>57</v>
      </c>
      <c r="I29" s="58">
        <v>3</v>
      </c>
      <c r="J29" s="58">
        <v>38</v>
      </c>
      <c r="K29" s="61"/>
      <c r="L29" s="62"/>
      <c r="M29" s="62"/>
      <c r="N29" s="62"/>
      <c r="O29" s="62"/>
      <c r="P29" s="62"/>
    </row>
    <row r="30" spans="1:16" ht="15">
      <c r="A30" s="58" t="s">
        <v>749</v>
      </c>
      <c r="B30" s="58">
        <v>78</v>
      </c>
      <c r="C30" s="58">
        <v>239888</v>
      </c>
      <c r="D30" s="58">
        <v>7.2</v>
      </c>
      <c r="E30" s="58">
        <v>3</v>
      </c>
      <c r="F30" s="58">
        <v>56</v>
      </c>
      <c r="G30" s="58">
        <v>95</v>
      </c>
      <c r="H30" s="58">
        <v>98</v>
      </c>
      <c r="I30" s="58">
        <v>10</v>
      </c>
      <c r="J30" s="58">
        <v>23</v>
      </c>
      <c r="K30" s="61"/>
      <c r="L30" s="62"/>
      <c r="M30" s="62"/>
      <c r="N30" s="62"/>
      <c r="O30" s="62"/>
      <c r="P30" s="62"/>
    </row>
    <row r="31" spans="1:16" ht="15">
      <c r="A31" s="58" t="s">
        <v>746</v>
      </c>
      <c r="B31" s="58">
        <v>85</v>
      </c>
      <c r="C31" s="58">
        <v>17411</v>
      </c>
      <c r="D31" s="58">
        <v>4.3</v>
      </c>
      <c r="E31" s="58">
        <v>14</v>
      </c>
      <c r="F31" s="58">
        <v>39</v>
      </c>
      <c r="G31" s="58">
        <v>72</v>
      </c>
      <c r="H31" s="58">
        <v>79</v>
      </c>
      <c r="I31" s="58">
        <v>8</v>
      </c>
      <c r="J31" s="58">
        <v>50</v>
      </c>
      <c r="K31" s="61"/>
      <c r="L31" s="62"/>
      <c r="M31" s="62"/>
      <c r="N31" s="62"/>
      <c r="O31" s="62"/>
      <c r="P31" s="62"/>
    </row>
    <row r="32" spans="1:16" ht="15">
      <c r="A32" s="58" t="s">
        <v>743</v>
      </c>
      <c r="B32" s="58">
        <v>94</v>
      </c>
      <c r="C32" s="58">
        <v>281190</v>
      </c>
      <c r="D32" s="58">
        <v>1.7</v>
      </c>
      <c r="E32" s="58">
        <v>27</v>
      </c>
      <c r="F32" s="58">
        <v>46</v>
      </c>
      <c r="G32" s="58">
        <v>70</v>
      </c>
      <c r="H32" s="58">
        <v>60</v>
      </c>
      <c r="I32" s="58">
        <v>5</v>
      </c>
      <c r="J32" s="58">
        <v>18</v>
      </c>
      <c r="K32" s="61"/>
      <c r="L32" s="62"/>
      <c r="M32" s="62"/>
      <c r="N32" s="62"/>
      <c r="O32" s="62"/>
      <c r="P32" s="62"/>
    </row>
    <row r="33" spans="1:16" ht="15">
      <c r="A33" s="58" t="s">
        <v>741</v>
      </c>
      <c r="B33" s="58">
        <v>91</v>
      </c>
      <c r="C33" s="58">
        <v>184756</v>
      </c>
      <c r="D33" s="58">
        <v>5.6</v>
      </c>
      <c r="E33" s="58">
        <v>23</v>
      </c>
      <c r="F33" s="58">
        <v>52</v>
      </c>
      <c r="G33" s="58">
        <v>68</v>
      </c>
      <c r="H33" s="58">
        <v>69</v>
      </c>
      <c r="I33" s="58">
        <v>6</v>
      </c>
      <c r="J33" s="58">
        <v>48</v>
      </c>
      <c r="K33" s="61"/>
      <c r="L33" s="62"/>
      <c r="M33" s="62"/>
      <c r="N33" s="62"/>
      <c r="O33" s="62"/>
      <c r="P33" s="62"/>
    </row>
    <row r="34" spans="1:16" ht="15">
      <c r="A34" s="58" t="s">
        <v>740</v>
      </c>
      <c r="B34" s="58">
        <v>85</v>
      </c>
      <c r="C34" s="58">
        <v>80384</v>
      </c>
      <c r="D34" s="58">
        <v>7.4</v>
      </c>
      <c r="E34" s="58">
        <v>25</v>
      </c>
      <c r="F34" s="58">
        <v>48</v>
      </c>
      <c r="G34" s="58">
        <v>82</v>
      </c>
      <c r="H34" s="58">
        <v>90</v>
      </c>
      <c r="I34" s="58">
        <v>7</v>
      </c>
      <c r="J34" s="58">
        <v>42</v>
      </c>
      <c r="K34" s="61"/>
      <c r="L34" s="62"/>
      <c r="M34" s="62"/>
      <c r="N34" s="62"/>
      <c r="O34" s="62"/>
      <c r="P34" s="62"/>
    </row>
    <row r="35" spans="1:16" ht="15">
      <c r="A35" s="58" t="s">
        <v>744</v>
      </c>
      <c r="B35" s="58">
        <v>96</v>
      </c>
      <c r="C35" s="58">
        <v>488014</v>
      </c>
      <c r="D35" s="58">
        <v>1.1000000000000001</v>
      </c>
      <c r="E35" s="58">
        <v>4</v>
      </c>
      <c r="F35" s="58">
        <v>49</v>
      </c>
      <c r="G35" s="58">
        <v>94</v>
      </c>
      <c r="H35" s="58">
        <v>63</v>
      </c>
      <c r="I35" s="58">
        <v>6</v>
      </c>
      <c r="J35" s="58">
        <v>33</v>
      </c>
      <c r="K35" s="61"/>
      <c r="L35" s="62"/>
      <c r="M35" s="62"/>
      <c r="N35" s="62"/>
      <c r="O35" s="62"/>
      <c r="P35" s="62"/>
    </row>
    <row r="36" spans="1:16" ht="15">
      <c r="A36" s="58" t="s">
        <v>740</v>
      </c>
      <c r="B36" s="58">
        <v>79</v>
      </c>
      <c r="C36" s="58">
        <v>187664</v>
      </c>
      <c r="D36" s="58">
        <v>7.3</v>
      </c>
      <c r="E36" s="58">
        <v>11</v>
      </c>
      <c r="F36" s="58">
        <v>54</v>
      </c>
      <c r="G36" s="58">
        <v>62</v>
      </c>
      <c r="H36" s="58">
        <v>67</v>
      </c>
      <c r="I36" s="58">
        <v>9</v>
      </c>
      <c r="J36" s="58">
        <v>20</v>
      </c>
      <c r="K36" s="61"/>
      <c r="L36" s="62"/>
      <c r="M36" s="62"/>
      <c r="N36" s="62"/>
      <c r="O36" s="62"/>
      <c r="P36" s="62"/>
    </row>
    <row r="37" spans="1:16" ht="15">
      <c r="A37" s="58" t="s">
        <v>749</v>
      </c>
      <c r="B37" s="58">
        <v>53</v>
      </c>
      <c r="C37" s="58">
        <v>270584</v>
      </c>
      <c r="D37" s="58">
        <v>4.7</v>
      </c>
      <c r="E37" s="58">
        <v>29</v>
      </c>
      <c r="F37" s="58">
        <v>33</v>
      </c>
      <c r="G37" s="58">
        <v>55</v>
      </c>
      <c r="H37" s="58">
        <v>88</v>
      </c>
      <c r="I37" s="58">
        <v>10</v>
      </c>
      <c r="J37" s="58">
        <v>14</v>
      </c>
      <c r="K37" s="61"/>
      <c r="L37" s="62"/>
      <c r="M37" s="62"/>
      <c r="N37" s="62"/>
      <c r="O37" s="62"/>
      <c r="P37" s="62"/>
    </row>
    <row r="38" spans="1:16" ht="15">
      <c r="A38" s="58" t="s">
        <v>745</v>
      </c>
      <c r="B38" s="58">
        <v>81</v>
      </c>
      <c r="C38" s="58">
        <v>259214</v>
      </c>
      <c r="D38" s="58">
        <v>8.5</v>
      </c>
      <c r="E38" s="58">
        <v>30</v>
      </c>
      <c r="F38" s="58">
        <v>56</v>
      </c>
      <c r="G38" s="58">
        <v>58</v>
      </c>
      <c r="H38" s="58">
        <v>54</v>
      </c>
      <c r="I38" s="58">
        <v>7</v>
      </c>
      <c r="J38" s="58">
        <v>10</v>
      </c>
      <c r="K38" s="61"/>
      <c r="L38" s="62"/>
      <c r="M38" s="62"/>
      <c r="N38" s="62"/>
      <c r="O38" s="62"/>
      <c r="P38" s="62"/>
    </row>
    <row r="39" spans="1:16" ht="15">
      <c r="A39" s="58" t="s">
        <v>748</v>
      </c>
      <c r="B39" s="58">
        <v>50</v>
      </c>
      <c r="C39" s="58">
        <v>295068</v>
      </c>
      <c r="D39" s="58">
        <v>1.7</v>
      </c>
      <c r="E39" s="58">
        <v>25</v>
      </c>
      <c r="F39" s="58">
        <v>38</v>
      </c>
      <c r="G39" s="58">
        <v>93</v>
      </c>
      <c r="H39" s="58">
        <v>94</v>
      </c>
      <c r="I39" s="58">
        <v>4</v>
      </c>
      <c r="J39" s="58">
        <v>3</v>
      </c>
      <c r="K39" s="61"/>
      <c r="L39" s="62"/>
      <c r="M39" s="62"/>
      <c r="N39" s="62"/>
      <c r="O39" s="62"/>
      <c r="P39" s="62"/>
    </row>
    <row r="40" spans="1:16" ht="15">
      <c r="A40" s="58" t="s">
        <v>748</v>
      </c>
      <c r="B40" s="58">
        <v>55</v>
      </c>
      <c r="C40" s="58">
        <v>161540</v>
      </c>
      <c r="D40" s="58">
        <v>3.6</v>
      </c>
      <c r="E40" s="58">
        <v>27</v>
      </c>
      <c r="F40" s="58">
        <v>52</v>
      </c>
      <c r="G40" s="58">
        <v>51</v>
      </c>
      <c r="H40" s="58">
        <v>90</v>
      </c>
      <c r="I40" s="58">
        <v>2</v>
      </c>
      <c r="J40" s="58">
        <v>45</v>
      </c>
      <c r="K40" s="61"/>
      <c r="L40" s="62"/>
      <c r="M40" s="62"/>
      <c r="N40" s="62"/>
      <c r="O40" s="62"/>
      <c r="P40" s="62"/>
    </row>
    <row r="41" spans="1:16" ht="15">
      <c r="A41" s="58" t="s">
        <v>749</v>
      </c>
      <c r="B41" s="58">
        <v>70</v>
      </c>
      <c r="C41" s="58">
        <v>445081</v>
      </c>
      <c r="D41" s="58">
        <v>8</v>
      </c>
      <c r="E41" s="58">
        <v>13</v>
      </c>
      <c r="F41" s="58">
        <v>24</v>
      </c>
      <c r="G41" s="58">
        <v>95</v>
      </c>
      <c r="H41" s="58">
        <v>90</v>
      </c>
      <c r="I41" s="58">
        <v>3</v>
      </c>
      <c r="J41" s="58">
        <v>2</v>
      </c>
      <c r="K41" s="61"/>
      <c r="L41" s="62"/>
      <c r="M41" s="62"/>
      <c r="N41" s="62"/>
      <c r="O41" s="62"/>
      <c r="P41" s="62"/>
    </row>
    <row r="42" spans="1:16" ht="15">
      <c r="A42" s="58" t="s">
        <v>740</v>
      </c>
      <c r="B42" s="58">
        <v>90</v>
      </c>
      <c r="C42" s="58">
        <v>396322</v>
      </c>
      <c r="D42" s="58">
        <v>7.8</v>
      </c>
      <c r="E42" s="58">
        <v>20</v>
      </c>
      <c r="F42" s="58">
        <v>34</v>
      </c>
      <c r="G42" s="58">
        <v>99</v>
      </c>
      <c r="H42" s="58">
        <v>76</v>
      </c>
      <c r="I42" s="58">
        <v>5</v>
      </c>
      <c r="J42" s="58">
        <v>50</v>
      </c>
      <c r="K42" s="61"/>
      <c r="L42" s="62"/>
      <c r="M42" s="62"/>
      <c r="N42" s="62"/>
      <c r="O42" s="62"/>
      <c r="P42" s="62"/>
    </row>
    <row r="43" spans="1:16" ht="15">
      <c r="A43" s="58" t="s">
        <v>748</v>
      </c>
      <c r="B43" s="58">
        <v>61</v>
      </c>
      <c r="C43" s="58">
        <v>486581</v>
      </c>
      <c r="D43" s="58">
        <v>3.9</v>
      </c>
      <c r="E43" s="58">
        <v>19</v>
      </c>
      <c r="F43" s="58">
        <v>58</v>
      </c>
      <c r="G43" s="58">
        <v>73</v>
      </c>
      <c r="H43" s="58">
        <v>89</v>
      </c>
      <c r="I43" s="58">
        <v>7</v>
      </c>
      <c r="J43" s="58">
        <v>33</v>
      </c>
      <c r="K43" s="61"/>
      <c r="L43" s="62"/>
      <c r="M43" s="62"/>
      <c r="N43" s="62"/>
      <c r="O43" s="62"/>
      <c r="P43" s="62"/>
    </row>
    <row r="44" spans="1:16" ht="15">
      <c r="A44" s="58" t="s">
        <v>743</v>
      </c>
      <c r="B44" s="58">
        <v>61</v>
      </c>
      <c r="C44" s="58">
        <v>81556</v>
      </c>
      <c r="D44" s="58">
        <v>4.7</v>
      </c>
      <c r="E44" s="58">
        <v>5</v>
      </c>
      <c r="F44" s="58">
        <v>35</v>
      </c>
      <c r="G44" s="58">
        <v>99</v>
      </c>
      <c r="H44" s="58">
        <v>57</v>
      </c>
      <c r="I44" s="58">
        <v>10</v>
      </c>
      <c r="J44" s="58">
        <v>24</v>
      </c>
      <c r="K44" s="61"/>
      <c r="L44" s="62"/>
      <c r="M44" s="62"/>
      <c r="N44" s="62"/>
      <c r="O44" s="62"/>
      <c r="P44" s="62"/>
    </row>
    <row r="45" spans="1:16" ht="15">
      <c r="A45" s="58" t="s">
        <v>742</v>
      </c>
      <c r="B45" s="58">
        <v>83</v>
      </c>
      <c r="C45" s="58">
        <v>367811</v>
      </c>
      <c r="D45" s="58">
        <v>6.7</v>
      </c>
      <c r="E45" s="58">
        <v>28</v>
      </c>
      <c r="F45" s="58">
        <v>48</v>
      </c>
      <c r="G45" s="58">
        <v>85</v>
      </c>
      <c r="H45" s="58">
        <v>57</v>
      </c>
      <c r="I45" s="58">
        <v>2</v>
      </c>
      <c r="J45" s="58">
        <v>21</v>
      </c>
      <c r="K45" s="61"/>
      <c r="L45" s="62"/>
      <c r="M45" s="62"/>
      <c r="N45" s="62"/>
      <c r="O45" s="62"/>
      <c r="P45" s="62"/>
    </row>
    <row r="46" spans="1:16" ht="15">
      <c r="A46" s="58" t="s">
        <v>749</v>
      </c>
      <c r="B46" s="58">
        <v>58</v>
      </c>
      <c r="C46" s="58">
        <v>369302</v>
      </c>
      <c r="D46" s="58">
        <v>2.2000000000000002</v>
      </c>
      <c r="E46" s="58">
        <v>26</v>
      </c>
      <c r="F46" s="58">
        <v>42</v>
      </c>
      <c r="G46" s="58">
        <v>95</v>
      </c>
      <c r="H46" s="58">
        <v>68</v>
      </c>
      <c r="I46" s="58">
        <v>3</v>
      </c>
      <c r="J46" s="58">
        <v>5</v>
      </c>
      <c r="K46" s="61"/>
      <c r="L46" s="62"/>
      <c r="M46" s="62"/>
      <c r="N46" s="62"/>
      <c r="O46" s="62"/>
      <c r="P46" s="62"/>
    </row>
    <row r="47" spans="1:16" ht="15">
      <c r="A47" s="58" t="s">
        <v>747</v>
      </c>
      <c r="B47" s="58">
        <v>85</v>
      </c>
      <c r="C47" s="58">
        <v>163423</v>
      </c>
      <c r="D47" s="58">
        <v>3.5</v>
      </c>
      <c r="E47" s="58">
        <v>22</v>
      </c>
      <c r="F47" s="58">
        <v>34</v>
      </c>
      <c r="G47" s="58">
        <v>85</v>
      </c>
      <c r="H47" s="58">
        <v>58</v>
      </c>
      <c r="I47" s="58">
        <v>10</v>
      </c>
      <c r="J47" s="58">
        <v>19</v>
      </c>
      <c r="K47" s="61"/>
      <c r="L47" s="62"/>
      <c r="M47" s="62"/>
      <c r="N47" s="62"/>
      <c r="O47" s="62"/>
      <c r="P47" s="62"/>
    </row>
    <row r="48" spans="1:16" ht="15">
      <c r="A48" s="58" t="s">
        <v>740</v>
      </c>
      <c r="B48" s="58">
        <v>82</v>
      </c>
      <c r="C48" s="58">
        <v>262405</v>
      </c>
      <c r="D48" s="58">
        <v>8.9</v>
      </c>
      <c r="E48" s="58">
        <v>20</v>
      </c>
      <c r="F48" s="58">
        <v>33</v>
      </c>
      <c r="G48" s="58">
        <v>53</v>
      </c>
      <c r="H48" s="58">
        <v>73</v>
      </c>
      <c r="I48" s="58">
        <v>3</v>
      </c>
      <c r="J48" s="58">
        <v>42</v>
      </c>
      <c r="K48" s="61"/>
      <c r="L48" s="62"/>
      <c r="M48" s="62"/>
      <c r="N48" s="62"/>
      <c r="O48" s="62"/>
      <c r="P48" s="62"/>
    </row>
    <row r="49" spans="1:16" ht="15">
      <c r="A49" s="58" t="s">
        <v>748</v>
      </c>
      <c r="B49" s="58">
        <v>72</v>
      </c>
      <c r="C49" s="58">
        <v>197773</v>
      </c>
      <c r="D49" s="58">
        <v>4.7</v>
      </c>
      <c r="E49" s="58">
        <v>8</v>
      </c>
      <c r="F49" s="58">
        <v>54</v>
      </c>
      <c r="G49" s="58">
        <v>66</v>
      </c>
      <c r="H49" s="58">
        <v>96</v>
      </c>
      <c r="I49" s="58">
        <v>8</v>
      </c>
      <c r="J49" s="58">
        <v>40</v>
      </c>
      <c r="K49" s="61"/>
      <c r="L49" s="62"/>
      <c r="M49" s="62"/>
      <c r="N49" s="62"/>
      <c r="O49" s="62"/>
      <c r="P49" s="62"/>
    </row>
    <row r="50" spans="1:16" ht="15">
      <c r="A50" s="58" t="s">
        <v>748</v>
      </c>
      <c r="B50" s="58">
        <v>68</v>
      </c>
      <c r="C50" s="58">
        <v>133139</v>
      </c>
      <c r="D50" s="58">
        <v>2.4</v>
      </c>
      <c r="E50" s="58">
        <v>9</v>
      </c>
      <c r="F50" s="58">
        <v>21</v>
      </c>
      <c r="G50" s="58">
        <v>82</v>
      </c>
      <c r="H50" s="58">
        <v>63</v>
      </c>
      <c r="I50" s="58">
        <v>10</v>
      </c>
      <c r="J50" s="58">
        <v>28</v>
      </c>
      <c r="K50" s="61"/>
      <c r="L50" s="62"/>
      <c r="M50" s="62"/>
      <c r="N50" s="62"/>
      <c r="O50" s="62"/>
      <c r="P50" s="62"/>
    </row>
    <row r="51" spans="1:16" ht="15">
      <c r="A51" s="58" t="s">
        <v>749</v>
      </c>
      <c r="B51" s="58">
        <v>78</v>
      </c>
      <c r="C51" s="58">
        <v>83273</v>
      </c>
      <c r="D51" s="58">
        <v>8.6</v>
      </c>
      <c r="E51" s="58">
        <v>3</v>
      </c>
      <c r="F51" s="58">
        <v>26</v>
      </c>
      <c r="G51" s="58">
        <v>73</v>
      </c>
      <c r="H51" s="58">
        <v>96</v>
      </c>
      <c r="I51" s="58">
        <v>7</v>
      </c>
      <c r="J51" s="58">
        <v>40</v>
      </c>
      <c r="K51" s="61"/>
      <c r="L51" s="62"/>
      <c r="M51" s="62"/>
      <c r="N51" s="62"/>
      <c r="O51" s="62"/>
      <c r="P51" s="62"/>
    </row>
    <row r="52" spans="1:16" ht="15">
      <c r="A52" s="58" t="s">
        <v>741</v>
      </c>
      <c r="B52" s="58">
        <v>85</v>
      </c>
      <c r="C52" s="58">
        <v>96286</v>
      </c>
      <c r="D52" s="58">
        <v>8.4</v>
      </c>
      <c r="E52" s="58">
        <v>25</v>
      </c>
      <c r="F52" s="58">
        <v>45</v>
      </c>
      <c r="G52" s="58">
        <v>68</v>
      </c>
      <c r="H52" s="58">
        <v>87</v>
      </c>
      <c r="I52" s="58">
        <v>5</v>
      </c>
      <c r="J52" s="58">
        <v>36</v>
      </c>
      <c r="K52" s="61"/>
      <c r="L52" s="62"/>
      <c r="M52" s="62"/>
      <c r="N52" s="62"/>
      <c r="O52" s="62"/>
      <c r="P52" s="62"/>
    </row>
    <row r="53" spans="1:16" ht="15">
      <c r="A53" s="58" t="s">
        <v>747</v>
      </c>
      <c r="B53" s="58">
        <v>86</v>
      </c>
      <c r="C53" s="58">
        <v>107119</v>
      </c>
      <c r="D53" s="58">
        <v>7.6</v>
      </c>
      <c r="E53" s="58">
        <v>21</v>
      </c>
      <c r="F53" s="58">
        <v>58</v>
      </c>
      <c r="G53" s="58">
        <v>84</v>
      </c>
      <c r="H53" s="58">
        <v>89</v>
      </c>
      <c r="I53" s="58">
        <v>5</v>
      </c>
      <c r="J53" s="58">
        <v>27</v>
      </c>
      <c r="K53" s="61"/>
      <c r="L53" s="62"/>
      <c r="M53" s="62"/>
      <c r="N53" s="62"/>
      <c r="O53" s="62"/>
      <c r="P53" s="62"/>
    </row>
  </sheetData>
  <phoneticPr fontId="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4E82-BAD3-4403-A0A9-7A45A4DAB362}">
  <sheetPr codeName="Sheet8"/>
  <dimension ref="A1:R53"/>
  <sheetViews>
    <sheetView workbookViewId="0">
      <selection activeCell="H23" sqref="H23"/>
    </sheetView>
  </sheetViews>
  <sheetFormatPr baseColWidth="10" defaultColWidth="8.83203125" defaultRowHeight="14"/>
  <cols>
    <col min="13" max="13" width="10.1640625" bestFit="1" customWidth="1"/>
    <col min="14" max="15" width="11" bestFit="1" customWidth="1"/>
    <col min="16" max="16" width="10" bestFit="1" customWidth="1"/>
    <col min="17" max="17" width="14.1640625" bestFit="1" customWidth="1"/>
    <col min="18" max="18" width="8.6640625" customWidth="1"/>
  </cols>
  <sheetData>
    <row r="1" spans="1:18" s="122" customFormat="1" ht="30" customHeight="1"/>
    <row r="2" spans="1:18" s="128" customFormat="1" ht="5.5" customHeight="1"/>
    <row r="3" spans="1:18" ht="15">
      <c r="A3" s="55" t="s">
        <v>69</v>
      </c>
      <c r="B3" s="56" t="s">
        <v>731</v>
      </c>
      <c r="C3" s="56" t="s">
        <v>732</v>
      </c>
      <c r="D3" s="56" t="s">
        <v>733</v>
      </c>
      <c r="E3" s="56" t="s">
        <v>734</v>
      </c>
      <c r="F3" s="56" t="s">
        <v>735</v>
      </c>
      <c r="G3" s="56" t="s">
        <v>736</v>
      </c>
      <c r="H3" s="56" t="s">
        <v>737</v>
      </c>
      <c r="I3" s="56" t="s">
        <v>738</v>
      </c>
      <c r="J3" s="56" t="s">
        <v>739</v>
      </c>
      <c r="M3" s="56" t="s">
        <v>772</v>
      </c>
      <c r="N3" s="56" t="s">
        <v>773</v>
      </c>
      <c r="O3" s="56" t="s">
        <v>774</v>
      </c>
      <c r="P3" s="56" t="s">
        <v>775</v>
      </c>
      <c r="Q3" s="56" t="s">
        <v>776</v>
      </c>
      <c r="R3" s="56" t="s">
        <v>777</v>
      </c>
    </row>
    <row r="4" spans="1:18" ht="17">
      <c r="A4" s="58" t="s">
        <v>740</v>
      </c>
      <c r="B4" s="58">
        <v>88</v>
      </c>
      <c r="C4" s="58">
        <v>285083</v>
      </c>
      <c r="D4" s="58">
        <v>9</v>
      </c>
      <c r="E4" s="58">
        <v>2</v>
      </c>
      <c r="F4" s="58">
        <v>45</v>
      </c>
      <c r="G4" s="58">
        <v>99</v>
      </c>
      <c r="H4" s="58">
        <v>88</v>
      </c>
      <c r="I4" s="58">
        <v>1</v>
      </c>
      <c r="J4" s="58">
        <v>12</v>
      </c>
      <c r="M4" s="56" t="s">
        <v>731</v>
      </c>
      <c r="N4" s="67">
        <f>AVERAGE(B4:B53)</f>
        <v>74.040000000000006</v>
      </c>
      <c r="O4" s="67">
        <f>MAX(B4:B53)</f>
        <v>96</v>
      </c>
      <c r="P4" s="67">
        <f>MIN(B4:B53)</f>
        <v>50</v>
      </c>
      <c r="Q4" s="67">
        <f>SUM(B4:B53)</f>
        <v>3702</v>
      </c>
      <c r="R4" s="67">
        <f>COUNT(B4:B53)</f>
        <v>50</v>
      </c>
    </row>
    <row r="5" spans="1:18" ht="17">
      <c r="A5" s="58" t="s">
        <v>741</v>
      </c>
      <c r="B5" s="58">
        <v>66</v>
      </c>
      <c r="C5" s="58">
        <v>167950</v>
      </c>
      <c r="D5" s="58">
        <v>8.9</v>
      </c>
      <c r="E5" s="58">
        <v>27</v>
      </c>
      <c r="F5" s="58">
        <v>40</v>
      </c>
      <c r="G5" s="58">
        <v>75</v>
      </c>
      <c r="H5" s="58">
        <v>65</v>
      </c>
      <c r="I5" s="58">
        <v>5</v>
      </c>
      <c r="J5" s="58">
        <v>50</v>
      </c>
      <c r="M5" s="56" t="s">
        <v>732</v>
      </c>
      <c r="N5" s="67">
        <f>AVERAGE(C4:C53)</f>
        <v>240647.6</v>
      </c>
      <c r="O5" s="67">
        <f>MAX(C4:C53)</f>
        <v>489268</v>
      </c>
      <c r="P5" s="67">
        <f>MIN(C4:C53)</f>
        <v>17411</v>
      </c>
      <c r="Q5" s="67">
        <f>SUM(C4:C53)</f>
        <v>12032380</v>
      </c>
      <c r="R5" s="67">
        <f>COUNT(C4:C53)</f>
        <v>50</v>
      </c>
    </row>
    <row r="6" spans="1:18" ht="17">
      <c r="A6" s="58" t="s">
        <v>741</v>
      </c>
      <c r="B6" s="58">
        <v>66</v>
      </c>
      <c r="C6" s="58">
        <v>458190</v>
      </c>
      <c r="D6" s="58">
        <v>2</v>
      </c>
      <c r="E6" s="58">
        <v>22</v>
      </c>
      <c r="F6" s="58">
        <v>46</v>
      </c>
      <c r="G6" s="58">
        <v>81</v>
      </c>
      <c r="H6" s="58">
        <v>88</v>
      </c>
      <c r="I6" s="58">
        <v>7</v>
      </c>
      <c r="J6" s="58">
        <v>8</v>
      </c>
      <c r="M6" s="56" t="s">
        <v>733</v>
      </c>
      <c r="N6" s="67">
        <f>AVERAGE(D4:D53)</f>
        <v>5.735999999999998</v>
      </c>
      <c r="O6" s="67">
        <f>MAX(D4:D53)</f>
        <v>9.8000000000000007</v>
      </c>
      <c r="P6" s="67">
        <f>MIN(D4:D53)</f>
        <v>1.1000000000000001</v>
      </c>
      <c r="Q6" s="67">
        <f>SUM(D4:D53)</f>
        <v>286.7999999999999</v>
      </c>
      <c r="R6" s="67">
        <f>COUNT(D4:D53)</f>
        <v>50</v>
      </c>
    </row>
    <row r="7" spans="1:18" ht="17">
      <c r="A7" s="58" t="s">
        <v>742</v>
      </c>
      <c r="B7" s="58">
        <v>71</v>
      </c>
      <c r="C7" s="58">
        <v>376350</v>
      </c>
      <c r="D7" s="58">
        <v>3</v>
      </c>
      <c r="E7" s="58">
        <v>29</v>
      </c>
      <c r="F7" s="58">
        <v>49</v>
      </c>
      <c r="G7" s="58">
        <v>79</v>
      </c>
      <c r="H7" s="58">
        <v>51</v>
      </c>
      <c r="I7" s="58">
        <v>1</v>
      </c>
      <c r="J7" s="58">
        <v>25</v>
      </c>
      <c r="M7" s="56" t="s">
        <v>734</v>
      </c>
      <c r="N7" s="67">
        <f>AVERAGE(E4:E53)</f>
        <v>15.58</v>
      </c>
      <c r="O7" s="67">
        <f>MAX(E4:E53)</f>
        <v>30</v>
      </c>
      <c r="P7" s="67">
        <f>MIN(E4:E53)</f>
        <v>1</v>
      </c>
      <c r="Q7" s="67">
        <f>SUM(E4:E53)</f>
        <v>779</v>
      </c>
      <c r="R7" s="67">
        <f>COUNT(E4:E53)</f>
        <v>50</v>
      </c>
    </row>
    <row r="8" spans="1:18" ht="17">
      <c r="A8" s="58" t="s">
        <v>743</v>
      </c>
      <c r="B8" s="58">
        <v>61</v>
      </c>
      <c r="C8" s="58">
        <v>199747</v>
      </c>
      <c r="D8" s="58">
        <v>8.4</v>
      </c>
      <c r="E8" s="58">
        <v>3</v>
      </c>
      <c r="F8" s="58">
        <v>48</v>
      </c>
      <c r="G8" s="58">
        <v>91</v>
      </c>
      <c r="H8" s="58">
        <v>75</v>
      </c>
      <c r="I8" s="58">
        <v>9</v>
      </c>
      <c r="J8" s="58">
        <v>16</v>
      </c>
      <c r="M8" s="56" t="s">
        <v>735</v>
      </c>
      <c r="N8" s="67">
        <f>AVERAGE(F4:F53)</f>
        <v>41</v>
      </c>
      <c r="O8" s="67">
        <f>MAX(F4:F53)</f>
        <v>59</v>
      </c>
      <c r="P8" s="67">
        <f>MIN(F4:F53)</f>
        <v>21</v>
      </c>
      <c r="Q8" s="67">
        <f>SUM(F4:F53)</f>
        <v>2050</v>
      </c>
      <c r="R8" s="67">
        <f>COUNT(F4:F53)</f>
        <v>50</v>
      </c>
    </row>
    <row r="9" spans="1:18" ht="17">
      <c r="A9" s="58" t="s">
        <v>741</v>
      </c>
      <c r="B9" s="58">
        <v>50</v>
      </c>
      <c r="C9" s="58">
        <v>27284</v>
      </c>
      <c r="D9" s="58">
        <v>6</v>
      </c>
      <c r="E9" s="58">
        <v>4</v>
      </c>
      <c r="F9" s="58">
        <v>21</v>
      </c>
      <c r="G9" s="58">
        <v>81</v>
      </c>
      <c r="H9" s="58">
        <v>53</v>
      </c>
      <c r="I9" s="58">
        <v>10</v>
      </c>
      <c r="J9" s="58">
        <v>26</v>
      </c>
      <c r="M9" s="56" t="s">
        <v>736</v>
      </c>
      <c r="N9" s="67">
        <f>AVERAGE(G4:G53)</f>
        <v>79.52</v>
      </c>
      <c r="O9" s="67">
        <f>MAX(G4:G53)</f>
        <v>100</v>
      </c>
      <c r="P9" s="67">
        <f>MIN(G4:G53)</f>
        <v>50</v>
      </c>
      <c r="Q9" s="67">
        <f>SUM(G4:G53)</f>
        <v>3976</v>
      </c>
      <c r="R9" s="67">
        <f>COUNT(G4:G53)</f>
        <v>50</v>
      </c>
    </row>
    <row r="10" spans="1:18" ht="17">
      <c r="A10" s="58" t="s">
        <v>742</v>
      </c>
      <c r="B10" s="58">
        <v>79</v>
      </c>
      <c r="C10" s="58">
        <v>472948</v>
      </c>
      <c r="D10" s="58">
        <v>5</v>
      </c>
      <c r="E10" s="58">
        <v>5</v>
      </c>
      <c r="F10" s="58">
        <v>30</v>
      </c>
      <c r="G10" s="58">
        <v>82</v>
      </c>
      <c r="H10" s="58">
        <v>65</v>
      </c>
      <c r="I10" s="58">
        <v>8</v>
      </c>
      <c r="J10" s="58">
        <v>37</v>
      </c>
      <c r="M10" s="56" t="s">
        <v>737</v>
      </c>
      <c r="N10" s="67">
        <f>AVERAGE(H4:H53)</f>
        <v>74.16</v>
      </c>
      <c r="O10" s="67">
        <f>MAX(H4:H53)</f>
        <v>98</v>
      </c>
      <c r="P10" s="67">
        <f>MIN(H4:H53)</f>
        <v>51</v>
      </c>
      <c r="Q10" s="67">
        <f>SUM(H4:H53)</f>
        <v>3708</v>
      </c>
      <c r="R10" s="67">
        <f>COUNT(H4:H53)</f>
        <v>50</v>
      </c>
    </row>
    <row r="11" spans="1:18" ht="17">
      <c r="A11" s="58" t="s">
        <v>744</v>
      </c>
      <c r="B11" s="58">
        <v>72</v>
      </c>
      <c r="C11" s="58">
        <v>107675</v>
      </c>
      <c r="D11" s="58">
        <v>2.6</v>
      </c>
      <c r="E11" s="58">
        <v>10</v>
      </c>
      <c r="F11" s="58">
        <v>48</v>
      </c>
      <c r="G11" s="58">
        <v>69</v>
      </c>
      <c r="H11" s="58">
        <v>57</v>
      </c>
      <c r="I11" s="58">
        <v>6</v>
      </c>
      <c r="J11" s="58">
        <v>36</v>
      </c>
      <c r="M11" s="56" t="s">
        <v>738</v>
      </c>
      <c r="N11" s="67">
        <f>AVERAGE(I4:I53)</f>
        <v>5.64</v>
      </c>
      <c r="O11" s="67">
        <f>MAX(I4:I53)</f>
        <v>10</v>
      </c>
      <c r="P11" s="67">
        <f>MIN(I4:I53)</f>
        <v>1</v>
      </c>
      <c r="Q11" s="67">
        <f>SUM(I4:I53)</f>
        <v>282</v>
      </c>
      <c r="R11" s="67">
        <f>COUNT(I4:I53)</f>
        <v>50</v>
      </c>
    </row>
    <row r="12" spans="1:18" ht="17">
      <c r="A12" s="58" t="s">
        <v>741</v>
      </c>
      <c r="B12" s="58">
        <v>50</v>
      </c>
      <c r="C12" s="58">
        <v>312021</v>
      </c>
      <c r="D12" s="58">
        <v>9.8000000000000007</v>
      </c>
      <c r="E12" s="58">
        <v>5</v>
      </c>
      <c r="F12" s="58">
        <v>44</v>
      </c>
      <c r="G12" s="58">
        <v>86</v>
      </c>
      <c r="H12" s="58">
        <v>61</v>
      </c>
      <c r="I12" s="58">
        <v>7</v>
      </c>
      <c r="J12" s="58">
        <v>44</v>
      </c>
      <c r="M12" s="56" t="s">
        <v>739</v>
      </c>
      <c r="N12" s="67">
        <f>AVERAGE(J4:J53)</f>
        <v>26.86</v>
      </c>
      <c r="O12" s="67">
        <f>MAX(J4:J53)</f>
        <v>50</v>
      </c>
      <c r="P12" s="67">
        <f>MIN(J4:J53)</f>
        <v>1</v>
      </c>
      <c r="Q12" s="67">
        <f>SUM(J4:J53)</f>
        <v>1343</v>
      </c>
      <c r="R12" s="67">
        <f>COUNT(J4:J53)</f>
        <v>50</v>
      </c>
    </row>
    <row r="13" spans="1:18" ht="15">
      <c r="A13" s="58" t="s">
        <v>740</v>
      </c>
      <c r="B13" s="58">
        <v>66</v>
      </c>
      <c r="C13" s="58">
        <v>117637</v>
      </c>
      <c r="D13" s="58">
        <v>6.5</v>
      </c>
      <c r="E13" s="58">
        <v>3</v>
      </c>
      <c r="F13" s="58">
        <v>59</v>
      </c>
      <c r="G13" s="58">
        <v>75</v>
      </c>
      <c r="H13" s="58">
        <v>98</v>
      </c>
      <c r="I13" s="58">
        <v>3</v>
      </c>
      <c r="J13" s="58">
        <v>35</v>
      </c>
    </row>
    <row r="14" spans="1:18" ht="15">
      <c r="A14" s="58" t="s">
        <v>744</v>
      </c>
      <c r="B14" s="58">
        <v>84</v>
      </c>
      <c r="C14" s="58">
        <v>119056</v>
      </c>
      <c r="D14" s="58">
        <v>9.1</v>
      </c>
      <c r="E14" s="58">
        <v>1</v>
      </c>
      <c r="F14" s="58">
        <v>29</v>
      </c>
      <c r="G14" s="58">
        <v>97</v>
      </c>
      <c r="H14" s="58">
        <v>66</v>
      </c>
      <c r="I14" s="58">
        <v>3</v>
      </c>
      <c r="J14" s="58">
        <v>40</v>
      </c>
    </row>
    <row r="15" spans="1:18" ht="15">
      <c r="A15" s="58" t="s">
        <v>745</v>
      </c>
      <c r="B15" s="58">
        <v>64</v>
      </c>
      <c r="C15" s="58">
        <v>360854</v>
      </c>
      <c r="D15" s="58">
        <v>6.6</v>
      </c>
      <c r="E15" s="58">
        <v>14</v>
      </c>
      <c r="F15" s="58">
        <v>21</v>
      </c>
      <c r="G15" s="58">
        <v>51</v>
      </c>
      <c r="H15" s="58">
        <v>98</v>
      </c>
      <c r="I15" s="58">
        <v>3</v>
      </c>
      <c r="J15" s="58">
        <v>44</v>
      </c>
    </row>
    <row r="16" spans="1:18" ht="15">
      <c r="A16" s="58" t="s">
        <v>740</v>
      </c>
      <c r="B16" s="58">
        <v>68</v>
      </c>
      <c r="C16" s="58">
        <v>402514</v>
      </c>
      <c r="D16" s="58">
        <v>8.1999999999999993</v>
      </c>
      <c r="E16" s="58">
        <v>3</v>
      </c>
      <c r="F16" s="58">
        <v>43</v>
      </c>
      <c r="G16" s="58">
        <v>100</v>
      </c>
      <c r="H16" s="58">
        <v>63</v>
      </c>
      <c r="I16" s="58">
        <v>3</v>
      </c>
      <c r="J16" s="58">
        <v>11</v>
      </c>
    </row>
    <row r="17" spans="1:10" ht="15">
      <c r="A17" s="58" t="s">
        <v>746</v>
      </c>
      <c r="B17" s="58">
        <v>72</v>
      </c>
      <c r="C17" s="58">
        <v>192145</v>
      </c>
      <c r="D17" s="58">
        <v>3.4</v>
      </c>
      <c r="E17" s="58">
        <v>18</v>
      </c>
      <c r="F17" s="58">
        <v>24</v>
      </c>
      <c r="G17" s="58">
        <v>94</v>
      </c>
      <c r="H17" s="58">
        <v>68</v>
      </c>
      <c r="I17" s="58">
        <v>3</v>
      </c>
      <c r="J17" s="58">
        <v>31</v>
      </c>
    </row>
    <row r="18" spans="1:10" ht="15">
      <c r="A18" s="58" t="s">
        <v>740</v>
      </c>
      <c r="B18" s="58">
        <v>62</v>
      </c>
      <c r="C18" s="58">
        <v>388653</v>
      </c>
      <c r="D18" s="58">
        <v>9.1</v>
      </c>
      <c r="E18" s="58">
        <v>27</v>
      </c>
      <c r="F18" s="58">
        <v>58</v>
      </c>
      <c r="G18" s="58">
        <v>93</v>
      </c>
      <c r="H18" s="58">
        <v>81</v>
      </c>
      <c r="I18" s="58">
        <v>3</v>
      </c>
      <c r="J18" s="58">
        <v>10</v>
      </c>
    </row>
    <row r="19" spans="1:10" ht="15">
      <c r="A19" s="58" t="s">
        <v>744</v>
      </c>
      <c r="B19" s="58">
        <v>68</v>
      </c>
      <c r="C19" s="58">
        <v>329899</v>
      </c>
      <c r="D19" s="58">
        <v>6.2</v>
      </c>
      <c r="E19" s="58">
        <v>17</v>
      </c>
      <c r="F19" s="58">
        <v>47</v>
      </c>
      <c r="G19" s="58">
        <v>86</v>
      </c>
      <c r="H19" s="58">
        <v>62</v>
      </c>
      <c r="I19" s="58">
        <v>5</v>
      </c>
      <c r="J19" s="58">
        <v>45</v>
      </c>
    </row>
    <row r="20" spans="1:10" ht="15">
      <c r="A20" s="58" t="s">
        <v>744</v>
      </c>
      <c r="B20" s="58">
        <v>52</v>
      </c>
      <c r="C20" s="58">
        <v>103517</v>
      </c>
      <c r="D20" s="58">
        <v>2.2999999999999998</v>
      </c>
      <c r="E20" s="58">
        <v>17</v>
      </c>
      <c r="F20" s="58">
        <v>39</v>
      </c>
      <c r="G20" s="58">
        <v>100</v>
      </c>
      <c r="H20" s="58">
        <v>85</v>
      </c>
      <c r="I20" s="58">
        <v>4</v>
      </c>
      <c r="J20" s="58">
        <v>8</v>
      </c>
    </row>
    <row r="21" spans="1:10" ht="15">
      <c r="A21" s="58" t="s">
        <v>745</v>
      </c>
      <c r="B21" s="58">
        <v>93</v>
      </c>
      <c r="C21" s="58">
        <v>489268</v>
      </c>
      <c r="D21" s="58">
        <v>9.3000000000000007</v>
      </c>
      <c r="E21" s="58">
        <v>12</v>
      </c>
      <c r="F21" s="58">
        <v>31</v>
      </c>
      <c r="G21" s="58">
        <v>98</v>
      </c>
      <c r="H21" s="58">
        <v>55</v>
      </c>
      <c r="I21" s="58">
        <v>8</v>
      </c>
      <c r="J21" s="58">
        <v>2</v>
      </c>
    </row>
    <row r="22" spans="1:10" ht="15">
      <c r="A22" s="58" t="s">
        <v>745</v>
      </c>
      <c r="B22" s="58">
        <v>76</v>
      </c>
      <c r="C22" s="58">
        <v>227028</v>
      </c>
      <c r="D22" s="58">
        <v>3</v>
      </c>
      <c r="E22" s="58">
        <v>11</v>
      </c>
      <c r="F22" s="58">
        <v>36</v>
      </c>
      <c r="G22" s="58">
        <v>78</v>
      </c>
      <c r="H22" s="58">
        <v>89</v>
      </c>
      <c r="I22" s="58">
        <v>4</v>
      </c>
      <c r="J22" s="58">
        <v>1</v>
      </c>
    </row>
    <row r="23" spans="1:10" ht="15">
      <c r="A23" s="58" t="s">
        <v>745</v>
      </c>
      <c r="B23" s="58">
        <v>93</v>
      </c>
      <c r="C23" s="58">
        <v>274925</v>
      </c>
      <c r="D23" s="58">
        <v>4.5999999999999996</v>
      </c>
      <c r="E23" s="58">
        <v>20</v>
      </c>
      <c r="F23" s="58">
        <v>25</v>
      </c>
      <c r="G23" s="58">
        <v>59</v>
      </c>
      <c r="H23" s="58">
        <v>52</v>
      </c>
      <c r="I23" s="58">
        <v>3</v>
      </c>
      <c r="J23" s="58">
        <v>12</v>
      </c>
    </row>
    <row r="24" spans="1:10" ht="15">
      <c r="A24" s="58" t="s">
        <v>741</v>
      </c>
      <c r="B24" s="58">
        <v>81</v>
      </c>
      <c r="C24" s="58">
        <v>213414</v>
      </c>
      <c r="D24" s="58">
        <v>5.3</v>
      </c>
      <c r="E24" s="58">
        <v>16</v>
      </c>
      <c r="F24" s="58">
        <v>31</v>
      </c>
      <c r="G24" s="58">
        <v>72</v>
      </c>
      <c r="H24" s="58">
        <v>84</v>
      </c>
      <c r="I24" s="58">
        <v>3</v>
      </c>
      <c r="J24" s="58">
        <v>22</v>
      </c>
    </row>
    <row r="25" spans="1:10" ht="15">
      <c r="A25" s="58" t="s">
        <v>747</v>
      </c>
      <c r="B25" s="58">
        <v>91</v>
      </c>
      <c r="C25" s="58">
        <v>117465</v>
      </c>
      <c r="D25" s="58">
        <v>4.9000000000000004</v>
      </c>
      <c r="E25" s="58">
        <v>23</v>
      </c>
      <c r="F25" s="58">
        <v>45</v>
      </c>
      <c r="G25" s="58">
        <v>50</v>
      </c>
      <c r="H25" s="58">
        <v>67</v>
      </c>
      <c r="I25" s="58">
        <v>9</v>
      </c>
      <c r="J25" s="58">
        <v>41</v>
      </c>
    </row>
    <row r="26" spans="1:10" ht="15">
      <c r="A26" s="58" t="s">
        <v>742</v>
      </c>
      <c r="B26" s="58">
        <v>63</v>
      </c>
      <c r="C26" s="58">
        <v>189844</v>
      </c>
      <c r="D26" s="58">
        <v>5.0999999999999996</v>
      </c>
      <c r="E26" s="58">
        <v>22</v>
      </c>
      <c r="F26" s="58">
        <v>39</v>
      </c>
      <c r="G26" s="58">
        <v>59</v>
      </c>
      <c r="H26" s="58">
        <v>71</v>
      </c>
      <c r="I26" s="58">
        <v>10</v>
      </c>
      <c r="J26" s="58">
        <v>34</v>
      </c>
    </row>
    <row r="27" spans="1:10" ht="15">
      <c r="A27" s="58" t="s">
        <v>748</v>
      </c>
      <c r="B27" s="58">
        <v>75</v>
      </c>
      <c r="C27" s="58">
        <v>150821</v>
      </c>
      <c r="D27" s="58">
        <v>6.2</v>
      </c>
      <c r="E27" s="58">
        <v>17</v>
      </c>
      <c r="F27" s="58">
        <v>51</v>
      </c>
      <c r="G27" s="58">
        <v>66</v>
      </c>
      <c r="H27" s="58">
        <v>91</v>
      </c>
      <c r="I27" s="58">
        <v>4</v>
      </c>
      <c r="J27" s="58">
        <v>23</v>
      </c>
    </row>
    <row r="28" spans="1:10" ht="15">
      <c r="A28" s="58" t="s">
        <v>740</v>
      </c>
      <c r="B28" s="58">
        <v>95</v>
      </c>
      <c r="C28" s="58">
        <v>261378</v>
      </c>
      <c r="D28" s="58">
        <v>8.6999999999999993</v>
      </c>
      <c r="E28" s="58">
        <v>4</v>
      </c>
      <c r="F28" s="58">
        <v>32</v>
      </c>
      <c r="G28" s="58">
        <v>99</v>
      </c>
      <c r="H28" s="58">
        <v>67</v>
      </c>
      <c r="I28" s="58">
        <v>5</v>
      </c>
      <c r="J28" s="58">
        <v>19</v>
      </c>
    </row>
    <row r="29" spans="1:10" ht="15">
      <c r="A29" s="58" t="s">
        <v>747</v>
      </c>
      <c r="B29" s="58">
        <v>70</v>
      </c>
      <c r="C29" s="58">
        <v>30930</v>
      </c>
      <c r="D29" s="58">
        <v>3.1</v>
      </c>
      <c r="E29" s="58">
        <v>10</v>
      </c>
      <c r="F29" s="58">
        <v>34</v>
      </c>
      <c r="G29" s="58">
        <v>99</v>
      </c>
      <c r="H29" s="58">
        <v>57</v>
      </c>
      <c r="I29" s="58">
        <v>3</v>
      </c>
      <c r="J29" s="58">
        <v>38</v>
      </c>
    </row>
    <row r="30" spans="1:10" ht="15">
      <c r="A30" s="58" t="s">
        <v>749</v>
      </c>
      <c r="B30" s="58">
        <v>78</v>
      </c>
      <c r="C30" s="58">
        <v>239888</v>
      </c>
      <c r="D30" s="58">
        <v>7.2</v>
      </c>
      <c r="E30" s="58">
        <v>3</v>
      </c>
      <c r="F30" s="58">
        <v>56</v>
      </c>
      <c r="G30" s="58">
        <v>95</v>
      </c>
      <c r="H30" s="58">
        <v>98</v>
      </c>
      <c r="I30" s="58">
        <v>10</v>
      </c>
      <c r="J30" s="58">
        <v>23</v>
      </c>
    </row>
    <row r="31" spans="1:10" ht="15">
      <c r="A31" s="58" t="s">
        <v>746</v>
      </c>
      <c r="B31" s="58">
        <v>85</v>
      </c>
      <c r="C31" s="58">
        <v>17411</v>
      </c>
      <c r="D31" s="58">
        <v>4.3</v>
      </c>
      <c r="E31" s="58">
        <v>14</v>
      </c>
      <c r="F31" s="58">
        <v>39</v>
      </c>
      <c r="G31" s="58">
        <v>72</v>
      </c>
      <c r="H31" s="58">
        <v>79</v>
      </c>
      <c r="I31" s="58">
        <v>8</v>
      </c>
      <c r="J31" s="58">
        <v>50</v>
      </c>
    </row>
    <row r="32" spans="1:10" ht="15">
      <c r="A32" s="58" t="s">
        <v>743</v>
      </c>
      <c r="B32" s="58">
        <v>94</v>
      </c>
      <c r="C32" s="58">
        <v>281190</v>
      </c>
      <c r="D32" s="58">
        <v>1.7</v>
      </c>
      <c r="E32" s="58">
        <v>27</v>
      </c>
      <c r="F32" s="58">
        <v>46</v>
      </c>
      <c r="G32" s="58">
        <v>70</v>
      </c>
      <c r="H32" s="58">
        <v>60</v>
      </c>
      <c r="I32" s="58">
        <v>5</v>
      </c>
      <c r="J32" s="58">
        <v>18</v>
      </c>
    </row>
    <row r="33" spans="1:10" ht="15">
      <c r="A33" s="58" t="s">
        <v>741</v>
      </c>
      <c r="B33" s="58">
        <v>91</v>
      </c>
      <c r="C33" s="58">
        <v>184756</v>
      </c>
      <c r="D33" s="58">
        <v>5.6</v>
      </c>
      <c r="E33" s="58">
        <v>23</v>
      </c>
      <c r="F33" s="58">
        <v>52</v>
      </c>
      <c r="G33" s="58">
        <v>68</v>
      </c>
      <c r="H33" s="58">
        <v>69</v>
      </c>
      <c r="I33" s="58">
        <v>6</v>
      </c>
      <c r="J33" s="58">
        <v>48</v>
      </c>
    </row>
    <row r="34" spans="1:10" ht="15">
      <c r="A34" s="58" t="s">
        <v>740</v>
      </c>
      <c r="B34" s="58">
        <v>85</v>
      </c>
      <c r="C34" s="58">
        <v>80384</v>
      </c>
      <c r="D34" s="58">
        <v>7.4</v>
      </c>
      <c r="E34" s="58">
        <v>25</v>
      </c>
      <c r="F34" s="58">
        <v>48</v>
      </c>
      <c r="G34" s="58">
        <v>82</v>
      </c>
      <c r="H34" s="58">
        <v>90</v>
      </c>
      <c r="I34" s="58">
        <v>7</v>
      </c>
      <c r="J34" s="58">
        <v>42</v>
      </c>
    </row>
    <row r="35" spans="1:10" ht="15">
      <c r="A35" s="58" t="s">
        <v>744</v>
      </c>
      <c r="B35" s="58">
        <v>96</v>
      </c>
      <c r="C35" s="58">
        <v>488014</v>
      </c>
      <c r="D35" s="58">
        <v>1.1000000000000001</v>
      </c>
      <c r="E35" s="58">
        <v>4</v>
      </c>
      <c r="F35" s="58">
        <v>49</v>
      </c>
      <c r="G35" s="58">
        <v>94</v>
      </c>
      <c r="H35" s="58">
        <v>63</v>
      </c>
      <c r="I35" s="58">
        <v>6</v>
      </c>
      <c r="J35" s="58">
        <v>33</v>
      </c>
    </row>
    <row r="36" spans="1:10" ht="15">
      <c r="A36" s="58" t="s">
        <v>740</v>
      </c>
      <c r="B36" s="58">
        <v>79</v>
      </c>
      <c r="C36" s="58">
        <v>187664</v>
      </c>
      <c r="D36" s="58">
        <v>7.3</v>
      </c>
      <c r="E36" s="58">
        <v>11</v>
      </c>
      <c r="F36" s="58">
        <v>54</v>
      </c>
      <c r="G36" s="58">
        <v>62</v>
      </c>
      <c r="H36" s="58">
        <v>67</v>
      </c>
      <c r="I36" s="58">
        <v>9</v>
      </c>
      <c r="J36" s="58">
        <v>20</v>
      </c>
    </row>
    <row r="37" spans="1:10" ht="15">
      <c r="A37" s="58" t="s">
        <v>749</v>
      </c>
      <c r="B37" s="58">
        <v>53</v>
      </c>
      <c r="C37" s="58">
        <v>270584</v>
      </c>
      <c r="D37" s="58">
        <v>4.7</v>
      </c>
      <c r="E37" s="58">
        <v>29</v>
      </c>
      <c r="F37" s="58">
        <v>33</v>
      </c>
      <c r="G37" s="58">
        <v>55</v>
      </c>
      <c r="H37" s="58">
        <v>88</v>
      </c>
      <c r="I37" s="58">
        <v>10</v>
      </c>
      <c r="J37" s="58">
        <v>14</v>
      </c>
    </row>
    <row r="38" spans="1:10" ht="15">
      <c r="A38" s="58" t="s">
        <v>745</v>
      </c>
      <c r="B38" s="58">
        <v>81</v>
      </c>
      <c r="C38" s="58">
        <v>259214</v>
      </c>
      <c r="D38" s="58">
        <v>8.5</v>
      </c>
      <c r="E38" s="58">
        <v>30</v>
      </c>
      <c r="F38" s="58">
        <v>56</v>
      </c>
      <c r="G38" s="58">
        <v>58</v>
      </c>
      <c r="H38" s="58">
        <v>54</v>
      </c>
      <c r="I38" s="58">
        <v>7</v>
      </c>
      <c r="J38" s="58">
        <v>10</v>
      </c>
    </row>
    <row r="39" spans="1:10" ht="15">
      <c r="A39" s="58" t="s">
        <v>748</v>
      </c>
      <c r="B39" s="58">
        <v>50</v>
      </c>
      <c r="C39" s="58">
        <v>295068</v>
      </c>
      <c r="D39" s="58">
        <v>1.7</v>
      </c>
      <c r="E39" s="58">
        <v>25</v>
      </c>
      <c r="F39" s="58">
        <v>38</v>
      </c>
      <c r="G39" s="58">
        <v>93</v>
      </c>
      <c r="H39" s="58">
        <v>94</v>
      </c>
      <c r="I39" s="58">
        <v>4</v>
      </c>
      <c r="J39" s="58">
        <v>3</v>
      </c>
    </row>
    <row r="40" spans="1:10" ht="15">
      <c r="A40" s="58" t="s">
        <v>748</v>
      </c>
      <c r="B40" s="58">
        <v>55</v>
      </c>
      <c r="C40" s="58">
        <v>161540</v>
      </c>
      <c r="D40" s="58">
        <v>3.6</v>
      </c>
      <c r="E40" s="58">
        <v>27</v>
      </c>
      <c r="F40" s="58">
        <v>52</v>
      </c>
      <c r="G40" s="58">
        <v>51</v>
      </c>
      <c r="H40" s="58">
        <v>90</v>
      </c>
      <c r="I40" s="58">
        <v>2</v>
      </c>
      <c r="J40" s="58">
        <v>45</v>
      </c>
    </row>
    <row r="41" spans="1:10" ht="15">
      <c r="A41" s="58" t="s">
        <v>749</v>
      </c>
      <c r="B41" s="58">
        <v>70</v>
      </c>
      <c r="C41" s="58">
        <v>445081</v>
      </c>
      <c r="D41" s="58">
        <v>8</v>
      </c>
      <c r="E41" s="58">
        <v>13</v>
      </c>
      <c r="F41" s="58">
        <v>24</v>
      </c>
      <c r="G41" s="58">
        <v>95</v>
      </c>
      <c r="H41" s="58">
        <v>90</v>
      </c>
      <c r="I41" s="58">
        <v>3</v>
      </c>
      <c r="J41" s="58">
        <v>2</v>
      </c>
    </row>
    <row r="42" spans="1:10" ht="15">
      <c r="A42" s="58" t="s">
        <v>740</v>
      </c>
      <c r="B42" s="58">
        <v>90</v>
      </c>
      <c r="C42" s="58">
        <v>396322</v>
      </c>
      <c r="D42" s="58">
        <v>7.8</v>
      </c>
      <c r="E42" s="58">
        <v>20</v>
      </c>
      <c r="F42" s="58">
        <v>34</v>
      </c>
      <c r="G42" s="58">
        <v>99</v>
      </c>
      <c r="H42" s="58">
        <v>76</v>
      </c>
      <c r="I42" s="58">
        <v>5</v>
      </c>
      <c r="J42" s="58">
        <v>50</v>
      </c>
    </row>
    <row r="43" spans="1:10" ht="15">
      <c r="A43" s="58" t="s">
        <v>748</v>
      </c>
      <c r="B43" s="58">
        <v>61</v>
      </c>
      <c r="C43" s="58">
        <v>486581</v>
      </c>
      <c r="D43" s="58">
        <v>3.9</v>
      </c>
      <c r="E43" s="58">
        <v>19</v>
      </c>
      <c r="F43" s="58">
        <v>58</v>
      </c>
      <c r="G43" s="58">
        <v>73</v>
      </c>
      <c r="H43" s="58">
        <v>89</v>
      </c>
      <c r="I43" s="58">
        <v>7</v>
      </c>
      <c r="J43" s="58">
        <v>33</v>
      </c>
    </row>
    <row r="44" spans="1:10" ht="15">
      <c r="A44" s="58" t="s">
        <v>743</v>
      </c>
      <c r="B44" s="58">
        <v>61</v>
      </c>
      <c r="C44" s="58">
        <v>81556</v>
      </c>
      <c r="D44" s="58">
        <v>4.7</v>
      </c>
      <c r="E44" s="58">
        <v>5</v>
      </c>
      <c r="F44" s="58">
        <v>35</v>
      </c>
      <c r="G44" s="58">
        <v>99</v>
      </c>
      <c r="H44" s="58">
        <v>57</v>
      </c>
      <c r="I44" s="58">
        <v>10</v>
      </c>
      <c r="J44" s="58">
        <v>24</v>
      </c>
    </row>
    <row r="45" spans="1:10" ht="15">
      <c r="A45" s="58" t="s">
        <v>742</v>
      </c>
      <c r="B45" s="58">
        <v>83</v>
      </c>
      <c r="C45" s="58">
        <v>367811</v>
      </c>
      <c r="D45" s="58">
        <v>6.7</v>
      </c>
      <c r="E45" s="58">
        <v>28</v>
      </c>
      <c r="F45" s="58">
        <v>48</v>
      </c>
      <c r="G45" s="58">
        <v>85</v>
      </c>
      <c r="H45" s="58">
        <v>57</v>
      </c>
      <c r="I45" s="58">
        <v>2</v>
      </c>
      <c r="J45" s="58">
        <v>21</v>
      </c>
    </row>
    <row r="46" spans="1:10" ht="15">
      <c r="A46" s="58" t="s">
        <v>749</v>
      </c>
      <c r="B46" s="58">
        <v>58</v>
      </c>
      <c r="C46" s="58">
        <v>369302</v>
      </c>
      <c r="D46" s="58">
        <v>2.2000000000000002</v>
      </c>
      <c r="E46" s="58">
        <v>26</v>
      </c>
      <c r="F46" s="58">
        <v>42</v>
      </c>
      <c r="G46" s="58">
        <v>95</v>
      </c>
      <c r="H46" s="58">
        <v>68</v>
      </c>
      <c r="I46" s="58">
        <v>3</v>
      </c>
      <c r="J46" s="58">
        <v>5</v>
      </c>
    </row>
    <row r="47" spans="1:10" ht="15">
      <c r="A47" s="58" t="s">
        <v>747</v>
      </c>
      <c r="B47" s="58">
        <v>85</v>
      </c>
      <c r="C47" s="58">
        <v>163423</v>
      </c>
      <c r="D47" s="58">
        <v>3.5</v>
      </c>
      <c r="E47" s="58">
        <v>22</v>
      </c>
      <c r="F47" s="58">
        <v>34</v>
      </c>
      <c r="G47" s="58">
        <v>85</v>
      </c>
      <c r="H47" s="58">
        <v>58</v>
      </c>
      <c r="I47" s="58">
        <v>10</v>
      </c>
      <c r="J47" s="58">
        <v>19</v>
      </c>
    </row>
    <row r="48" spans="1:10" ht="15">
      <c r="A48" s="58" t="s">
        <v>740</v>
      </c>
      <c r="B48" s="58">
        <v>82</v>
      </c>
      <c r="C48" s="58">
        <v>262405</v>
      </c>
      <c r="D48" s="58">
        <v>8.9</v>
      </c>
      <c r="E48" s="58">
        <v>20</v>
      </c>
      <c r="F48" s="58">
        <v>33</v>
      </c>
      <c r="G48" s="58">
        <v>53</v>
      </c>
      <c r="H48" s="58">
        <v>73</v>
      </c>
      <c r="I48" s="58">
        <v>3</v>
      </c>
      <c r="J48" s="58">
        <v>42</v>
      </c>
    </row>
    <row r="49" spans="1:10" ht="15">
      <c r="A49" s="58" t="s">
        <v>748</v>
      </c>
      <c r="B49" s="58">
        <v>72</v>
      </c>
      <c r="C49" s="58">
        <v>197773</v>
      </c>
      <c r="D49" s="58">
        <v>4.7</v>
      </c>
      <c r="E49" s="58">
        <v>8</v>
      </c>
      <c r="F49" s="58">
        <v>54</v>
      </c>
      <c r="G49" s="58">
        <v>66</v>
      </c>
      <c r="H49" s="58">
        <v>96</v>
      </c>
      <c r="I49" s="58">
        <v>8</v>
      </c>
      <c r="J49" s="58">
        <v>40</v>
      </c>
    </row>
    <row r="50" spans="1:10" ht="15">
      <c r="A50" s="58" t="s">
        <v>748</v>
      </c>
      <c r="B50" s="58">
        <v>68</v>
      </c>
      <c r="C50" s="58">
        <v>133139</v>
      </c>
      <c r="D50" s="58">
        <v>2.4</v>
      </c>
      <c r="E50" s="58">
        <v>9</v>
      </c>
      <c r="F50" s="58">
        <v>21</v>
      </c>
      <c r="G50" s="58">
        <v>82</v>
      </c>
      <c r="H50" s="58">
        <v>63</v>
      </c>
      <c r="I50" s="58">
        <v>10</v>
      </c>
      <c r="J50" s="58">
        <v>28</v>
      </c>
    </row>
    <row r="51" spans="1:10" ht="15">
      <c r="A51" s="58" t="s">
        <v>749</v>
      </c>
      <c r="B51" s="58">
        <v>78</v>
      </c>
      <c r="C51" s="58">
        <v>83273</v>
      </c>
      <c r="D51" s="58">
        <v>8.6</v>
      </c>
      <c r="E51" s="58">
        <v>3</v>
      </c>
      <c r="F51" s="58">
        <v>26</v>
      </c>
      <c r="G51" s="58">
        <v>73</v>
      </c>
      <c r="H51" s="58">
        <v>96</v>
      </c>
      <c r="I51" s="58">
        <v>7</v>
      </c>
      <c r="J51" s="58">
        <v>40</v>
      </c>
    </row>
    <row r="52" spans="1:10" ht="15">
      <c r="A52" s="58" t="s">
        <v>741</v>
      </c>
      <c r="B52" s="58">
        <v>85</v>
      </c>
      <c r="C52" s="58">
        <v>96286</v>
      </c>
      <c r="D52" s="58">
        <v>8.4</v>
      </c>
      <c r="E52" s="58">
        <v>25</v>
      </c>
      <c r="F52" s="58">
        <v>45</v>
      </c>
      <c r="G52" s="58">
        <v>68</v>
      </c>
      <c r="H52" s="58">
        <v>87</v>
      </c>
      <c r="I52" s="58">
        <v>5</v>
      </c>
      <c r="J52" s="58">
        <v>36</v>
      </c>
    </row>
    <row r="53" spans="1:10" ht="15">
      <c r="A53" s="58" t="s">
        <v>747</v>
      </c>
      <c r="B53" s="58">
        <v>86</v>
      </c>
      <c r="C53" s="58">
        <v>107119</v>
      </c>
      <c r="D53" s="58">
        <v>7.6</v>
      </c>
      <c r="E53" s="58">
        <v>21</v>
      </c>
      <c r="F53" s="58">
        <v>58</v>
      </c>
      <c r="G53" s="58">
        <v>84</v>
      </c>
      <c r="H53" s="58">
        <v>89</v>
      </c>
      <c r="I53" s="58">
        <v>5</v>
      </c>
      <c r="J53" s="58">
        <v>27</v>
      </c>
    </row>
  </sheetData>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359D-79CF-48FB-9B6C-EA493BD3680C}">
  <sheetPr codeName="Sheet9"/>
  <dimension ref="A1:W503"/>
  <sheetViews>
    <sheetView workbookViewId="0">
      <selection activeCell="M21" sqref="M21"/>
    </sheetView>
  </sheetViews>
  <sheetFormatPr baseColWidth="10" defaultColWidth="8.83203125" defaultRowHeight="14"/>
  <cols>
    <col min="8" max="8" width="10.6640625" style="54" bestFit="1" customWidth="1"/>
    <col min="12" max="12" width="12.33203125" customWidth="1"/>
    <col min="13" max="22" width="10.1640625" customWidth="1"/>
    <col min="23" max="23" width="12" customWidth="1"/>
  </cols>
  <sheetData>
    <row r="1" spans="1:15" s="122" customFormat="1" ht="30" customHeight="1">
      <c r="H1" s="124"/>
    </row>
    <row r="2" spans="1:15" s="128" customFormat="1" ht="5.5" customHeight="1">
      <c r="H2" s="130"/>
    </row>
    <row r="3" spans="1:15" ht="15">
      <c r="A3" s="55" t="s">
        <v>778</v>
      </c>
      <c r="B3" s="56" t="s">
        <v>779</v>
      </c>
      <c r="C3" s="56" t="s">
        <v>780</v>
      </c>
      <c r="D3" s="56" t="s">
        <v>781</v>
      </c>
      <c r="E3" s="56" t="s">
        <v>732</v>
      </c>
      <c r="F3" s="56" t="s">
        <v>782</v>
      </c>
      <c r="G3" s="56" t="s">
        <v>783</v>
      </c>
      <c r="H3" s="68" t="s">
        <v>784</v>
      </c>
      <c r="I3" s="56" t="s">
        <v>785</v>
      </c>
      <c r="J3" s="56" t="s">
        <v>786</v>
      </c>
      <c r="L3" s="56" t="s">
        <v>816</v>
      </c>
      <c r="M3" s="56" t="s">
        <v>786</v>
      </c>
      <c r="N3" s="56" t="s">
        <v>817</v>
      </c>
      <c r="O3" s="56" t="s">
        <v>818</v>
      </c>
    </row>
    <row r="4" spans="1:15" ht="15">
      <c r="A4" s="58" t="s">
        <v>743</v>
      </c>
      <c r="B4" s="58" t="s">
        <v>787</v>
      </c>
      <c r="C4" s="58" t="s">
        <v>788</v>
      </c>
      <c r="D4" s="58" t="s">
        <v>789</v>
      </c>
      <c r="E4" s="58">
        <v>861211</v>
      </c>
      <c r="F4" s="58">
        <v>96</v>
      </c>
      <c r="G4" s="58">
        <v>80611</v>
      </c>
      <c r="H4" s="69">
        <v>44684</v>
      </c>
      <c r="I4" s="58">
        <v>0.13</v>
      </c>
      <c r="J4" s="58">
        <v>920333.04</v>
      </c>
      <c r="L4" s="70" t="s">
        <v>819</v>
      </c>
      <c r="M4" s="70">
        <f>SUMIFS(E4:E53, I4:I53, "&gt;=0", I4:I53, "&lt;=0.1")</f>
        <v>27631918</v>
      </c>
      <c r="N4" s="70">
        <f>AVERAGEIFS(E4:E53, I4:I53, "&gt;=0", I4:I53, "&lt;=0.1")</f>
        <v>3453989.75</v>
      </c>
      <c r="O4" s="70">
        <f>COUNTIFS(I4:I53, "&gt;=0", I4:I53, "&lt;=0.1")</f>
        <v>8</v>
      </c>
    </row>
    <row r="5" spans="1:15" ht="15">
      <c r="A5" s="58" t="s">
        <v>749</v>
      </c>
      <c r="B5" s="58" t="s">
        <v>790</v>
      </c>
      <c r="C5" s="58" t="s">
        <v>788</v>
      </c>
      <c r="D5" s="58" t="s">
        <v>791</v>
      </c>
      <c r="E5" s="58">
        <v>1118870</v>
      </c>
      <c r="F5" s="58">
        <v>59</v>
      </c>
      <c r="G5" s="58">
        <v>16478</v>
      </c>
      <c r="H5" s="69">
        <v>44569</v>
      </c>
      <c r="I5" s="58">
        <v>0.03</v>
      </c>
      <c r="J5" s="58">
        <v>617364.39</v>
      </c>
    </row>
    <row r="6" spans="1:15" ht="15">
      <c r="A6" s="58" t="s">
        <v>740</v>
      </c>
      <c r="B6" s="58" t="s">
        <v>792</v>
      </c>
      <c r="C6" s="58" t="s">
        <v>793</v>
      </c>
      <c r="D6" s="58" t="s">
        <v>791</v>
      </c>
      <c r="E6" s="58">
        <v>2156014</v>
      </c>
      <c r="F6" s="58">
        <v>20</v>
      </c>
      <c r="G6" s="58">
        <v>117588</v>
      </c>
      <c r="H6" s="69">
        <v>44968</v>
      </c>
      <c r="I6" s="58">
        <v>0.15</v>
      </c>
      <c r="J6" s="58">
        <v>795395.52</v>
      </c>
      <c r="L6" s="56" t="s">
        <v>820</v>
      </c>
      <c r="M6" s="56" t="s">
        <v>786</v>
      </c>
      <c r="N6" s="56" t="s">
        <v>817</v>
      </c>
      <c r="O6" s="56" t="s">
        <v>818</v>
      </c>
    </row>
    <row r="7" spans="1:15" ht="15">
      <c r="A7" s="58" t="s">
        <v>741</v>
      </c>
      <c r="B7" s="58" t="s">
        <v>787</v>
      </c>
      <c r="C7" s="58" t="s">
        <v>793</v>
      </c>
      <c r="D7" s="58" t="s">
        <v>789</v>
      </c>
      <c r="E7" s="58">
        <v>4539351</v>
      </c>
      <c r="F7" s="58">
        <v>20</v>
      </c>
      <c r="G7" s="58">
        <v>431168</v>
      </c>
      <c r="H7" s="69">
        <v>45537</v>
      </c>
      <c r="I7" s="58">
        <v>0.01</v>
      </c>
      <c r="J7" s="58">
        <v>1276152.46</v>
      </c>
      <c r="L7" s="70" t="s">
        <v>821</v>
      </c>
      <c r="M7" s="71">
        <f>SUMIFS(E4:E53, G4:G53, "&gt;=0", G4:G53, "&lt;=100000")</f>
        <v>29477804</v>
      </c>
      <c r="N7" s="71">
        <f>AVERAGEIFS(E4:E53, G4:G53, "&gt;=0", G4:G53, "&lt;=100000")</f>
        <v>2456483.6666666665</v>
      </c>
      <c r="O7" s="71">
        <f>COUNTIFS(G4:G53, "&gt;=0", G4:G53, "&lt;=100000")</f>
        <v>12</v>
      </c>
    </row>
    <row r="8" spans="1:15" ht="15">
      <c r="A8" s="58" t="s">
        <v>743</v>
      </c>
      <c r="B8" s="58" t="s">
        <v>794</v>
      </c>
      <c r="C8" s="58" t="s">
        <v>795</v>
      </c>
      <c r="D8" s="58" t="s">
        <v>796</v>
      </c>
      <c r="E8" s="58">
        <v>1050132</v>
      </c>
      <c r="F8" s="58">
        <v>55</v>
      </c>
      <c r="G8" s="58">
        <v>50209</v>
      </c>
      <c r="H8" s="69">
        <v>44629</v>
      </c>
      <c r="I8" s="58">
        <v>0.41</v>
      </c>
      <c r="J8" s="58">
        <v>3374022.28</v>
      </c>
      <c r="L8" s="70" t="s">
        <v>822</v>
      </c>
      <c r="M8" s="71">
        <f>SUMIFS(E4:E53, G4:G53, "&gt;=100001", G4:G53, "&lt;=500000")</f>
        <v>100704428</v>
      </c>
      <c r="N8" s="71">
        <f>AVERAGEIFS(E4:E53, G4:G53, "&gt;=100001", G4:G53, "&lt;=500000")</f>
        <v>2650116.5263157897</v>
      </c>
      <c r="O8" s="71">
        <f>COUNTIFS(G4:G53, "&gt;=100001", G4:G53, "&lt;=500000")</f>
        <v>38</v>
      </c>
    </row>
    <row r="9" spans="1:15" ht="15">
      <c r="A9" s="58" t="s">
        <v>743</v>
      </c>
      <c r="B9" s="58" t="s">
        <v>797</v>
      </c>
      <c r="C9" s="58" t="s">
        <v>798</v>
      </c>
      <c r="D9" s="58" t="s">
        <v>791</v>
      </c>
      <c r="E9" s="58">
        <v>4805725</v>
      </c>
      <c r="F9" s="58">
        <v>71</v>
      </c>
      <c r="G9" s="58">
        <v>2560</v>
      </c>
      <c r="H9" s="69">
        <v>44572</v>
      </c>
      <c r="I9" s="58">
        <v>0.32</v>
      </c>
      <c r="J9" s="58">
        <v>1600411.98</v>
      </c>
      <c r="L9" s="70" t="s">
        <v>823</v>
      </c>
      <c r="M9" s="71">
        <f>SUMIFS(E4:E53, G4:G53, "&gt;500000")</f>
        <v>0</v>
      </c>
      <c r="N9" s="71" t="e">
        <f>AVERAGEIFS(E4:E53, G4:G53, "&gt;500000")</f>
        <v>#DIV/0!</v>
      </c>
      <c r="O9" s="71">
        <f>COUNTIFS(G4:G53, "&gt;500000")</f>
        <v>0</v>
      </c>
    </row>
    <row r="10" spans="1:15" ht="15">
      <c r="A10" s="58" t="s">
        <v>745</v>
      </c>
      <c r="B10" s="58" t="s">
        <v>794</v>
      </c>
      <c r="C10" s="58" t="s">
        <v>799</v>
      </c>
      <c r="D10" s="58" t="s">
        <v>800</v>
      </c>
      <c r="E10" s="58">
        <v>2523822</v>
      </c>
      <c r="F10" s="58">
        <v>35</v>
      </c>
      <c r="G10" s="58">
        <v>298700</v>
      </c>
      <c r="H10" s="69">
        <v>44666</v>
      </c>
      <c r="I10" s="58">
        <v>0.18</v>
      </c>
      <c r="J10" s="58">
        <v>2009741.76</v>
      </c>
    </row>
    <row r="11" spans="1:15" ht="15">
      <c r="A11" s="58" t="s">
        <v>749</v>
      </c>
      <c r="B11" s="58" t="s">
        <v>797</v>
      </c>
      <c r="C11" s="58" t="s">
        <v>795</v>
      </c>
      <c r="D11" s="58" t="s">
        <v>801</v>
      </c>
      <c r="E11" s="58">
        <v>603228</v>
      </c>
      <c r="F11" s="58">
        <v>75</v>
      </c>
      <c r="G11" s="58">
        <v>168597</v>
      </c>
      <c r="H11" s="69">
        <v>44573</v>
      </c>
      <c r="I11" s="58">
        <v>0.17</v>
      </c>
      <c r="J11" s="58">
        <v>541009.43999999994</v>
      </c>
      <c r="L11" s="56" t="s">
        <v>824</v>
      </c>
      <c r="M11" s="56" t="s">
        <v>779</v>
      </c>
      <c r="N11" s="56" t="s">
        <v>825</v>
      </c>
      <c r="O11" s="56" t="s">
        <v>786</v>
      </c>
    </row>
    <row r="12" spans="1:15" ht="15">
      <c r="A12" s="58" t="s">
        <v>741</v>
      </c>
      <c r="B12" s="58" t="s">
        <v>802</v>
      </c>
      <c r="C12" s="58" t="s">
        <v>798</v>
      </c>
      <c r="D12" s="58" t="s">
        <v>803</v>
      </c>
      <c r="E12" s="58">
        <v>3920665</v>
      </c>
      <c r="F12" s="58">
        <v>77</v>
      </c>
      <c r="G12" s="58">
        <v>333393</v>
      </c>
      <c r="H12" s="69">
        <v>45000</v>
      </c>
      <c r="I12" s="58">
        <v>0.17</v>
      </c>
      <c r="J12" s="58">
        <v>1408342.08</v>
      </c>
      <c r="L12" s="70" t="s">
        <v>826</v>
      </c>
      <c r="M12" s="70" t="str">
        <f>INDEX(B4:B53, MATCH(LARGE(F4:F53, 1), F4:F53, 0))</f>
        <v>카메라</v>
      </c>
      <c r="N12" s="72">
        <f>LARGE(F4:F53, 1)</f>
        <v>98</v>
      </c>
      <c r="O12" s="72">
        <f>SUMIFS(E4:E53, B4:B53, INDEX(B4:B53, MATCH(LARGE(F4:F53, 1), F4:F53, 0)))</f>
        <v>6292789</v>
      </c>
    </row>
    <row r="13" spans="1:15" ht="15">
      <c r="A13" s="58" t="s">
        <v>744</v>
      </c>
      <c r="B13" s="58" t="s">
        <v>787</v>
      </c>
      <c r="C13" s="58" t="s">
        <v>798</v>
      </c>
      <c r="D13" s="58" t="s">
        <v>791</v>
      </c>
      <c r="E13" s="58">
        <v>2300862</v>
      </c>
      <c r="F13" s="58">
        <v>51</v>
      </c>
      <c r="G13" s="58">
        <v>226845</v>
      </c>
      <c r="H13" s="69">
        <v>45195</v>
      </c>
      <c r="I13" s="58">
        <v>0.34</v>
      </c>
      <c r="J13" s="58">
        <v>1752319.2</v>
      </c>
      <c r="L13" s="70" t="s">
        <v>827</v>
      </c>
      <c r="M13" s="70" t="str">
        <f>INDEX(B4:B53, MATCH(LARGE(F4:F53, 2), F4:F53, 0))</f>
        <v>냉장고</v>
      </c>
      <c r="N13" s="72">
        <f>LARGE(F4:F53, 2)</f>
        <v>96</v>
      </c>
      <c r="O13" s="72">
        <f>SUMIFS(E4:E53, B4:B53, INDEX(B4:B53, MATCH(LARGE(F4:F53, 2), F4:F53, 0)))</f>
        <v>16514416</v>
      </c>
    </row>
    <row r="14" spans="1:15" ht="15">
      <c r="A14" s="58" t="s">
        <v>743</v>
      </c>
      <c r="B14" s="58" t="s">
        <v>804</v>
      </c>
      <c r="C14" s="58" t="s">
        <v>799</v>
      </c>
      <c r="D14" s="58" t="s">
        <v>805</v>
      </c>
      <c r="E14" s="58">
        <v>994915</v>
      </c>
      <c r="F14" s="58">
        <v>52</v>
      </c>
      <c r="G14" s="58">
        <v>160697</v>
      </c>
      <c r="H14" s="69">
        <v>44974</v>
      </c>
      <c r="I14" s="58">
        <v>0.14000000000000001</v>
      </c>
      <c r="J14" s="58">
        <v>210786.71</v>
      </c>
      <c r="L14" s="70" t="s">
        <v>828</v>
      </c>
      <c r="M14" s="70" t="str">
        <f>INDEX(B4:B53, MATCH(LARGE(F4:F53, 3), F4:F53, 0))</f>
        <v>전자레인지</v>
      </c>
      <c r="N14" s="72">
        <f>LARGE(F4:F53, 3)</f>
        <v>94</v>
      </c>
      <c r="O14" s="72">
        <f>SUMIFS(E4:E53, B4:B53, INDEX(B4:B53, MATCH(LARGE(F4:F53, 3), F4:F53, 0)))</f>
        <v>13426571</v>
      </c>
    </row>
    <row r="15" spans="1:15" ht="15">
      <c r="A15" s="58" t="s">
        <v>743</v>
      </c>
      <c r="B15" s="58" t="s">
        <v>797</v>
      </c>
      <c r="C15" s="58" t="s">
        <v>795</v>
      </c>
      <c r="D15" s="58" t="s">
        <v>806</v>
      </c>
      <c r="E15" s="58">
        <v>586391</v>
      </c>
      <c r="F15" s="58">
        <v>76</v>
      </c>
      <c r="G15" s="58">
        <v>112153</v>
      </c>
      <c r="H15" s="69">
        <v>44848</v>
      </c>
      <c r="I15" s="58">
        <v>0.24</v>
      </c>
      <c r="J15" s="58">
        <v>50580</v>
      </c>
    </row>
    <row r="16" spans="1:15" ht="15">
      <c r="A16" s="58" t="s">
        <v>747</v>
      </c>
      <c r="B16" s="58" t="s">
        <v>790</v>
      </c>
      <c r="C16" s="58" t="s">
        <v>807</v>
      </c>
      <c r="D16" s="58" t="s">
        <v>791</v>
      </c>
      <c r="E16" s="58">
        <v>2130912</v>
      </c>
      <c r="F16" s="58">
        <v>25</v>
      </c>
      <c r="G16" s="58">
        <v>275809</v>
      </c>
      <c r="H16" s="69">
        <v>44789</v>
      </c>
      <c r="I16" s="58">
        <v>0.25</v>
      </c>
      <c r="J16" s="58">
        <v>3055064.32</v>
      </c>
    </row>
    <row r="17" spans="1:23" ht="18">
      <c r="A17" s="58" t="s">
        <v>747</v>
      </c>
      <c r="B17" s="58" t="s">
        <v>808</v>
      </c>
      <c r="C17" s="58" t="s">
        <v>809</v>
      </c>
      <c r="D17" s="58" t="s">
        <v>810</v>
      </c>
      <c r="E17" s="58">
        <v>2713130</v>
      </c>
      <c r="F17" s="58">
        <v>54</v>
      </c>
      <c r="G17" s="58">
        <v>243012</v>
      </c>
      <c r="H17" s="69">
        <v>45646</v>
      </c>
      <c r="I17" s="58">
        <v>0.23</v>
      </c>
      <c r="J17" s="58">
        <v>2066000.72</v>
      </c>
      <c r="L17" s="74" t="s">
        <v>780</v>
      </c>
      <c r="M17" s="74" t="s">
        <v>829</v>
      </c>
      <c r="N17" s="74" t="s">
        <v>830</v>
      </c>
      <c r="O17" s="74" t="s">
        <v>839</v>
      </c>
      <c r="P17" s="74" t="s">
        <v>831</v>
      </c>
      <c r="Q17" s="74" t="s">
        <v>839</v>
      </c>
      <c r="R17" s="74" t="s">
        <v>832</v>
      </c>
      <c r="S17" s="74" t="s">
        <v>839</v>
      </c>
      <c r="T17" s="74" t="s">
        <v>833</v>
      </c>
      <c r="U17" s="74" t="s">
        <v>839</v>
      </c>
      <c r="V17" s="74" t="s">
        <v>834</v>
      </c>
      <c r="W17" s="74" t="s">
        <v>839</v>
      </c>
    </row>
    <row r="18" spans="1:23" ht="18">
      <c r="A18" s="58" t="s">
        <v>742</v>
      </c>
      <c r="B18" s="58" t="s">
        <v>808</v>
      </c>
      <c r="C18" s="58" t="s">
        <v>788</v>
      </c>
      <c r="D18" s="58" t="s">
        <v>796</v>
      </c>
      <c r="E18" s="58">
        <v>808568</v>
      </c>
      <c r="F18" s="58">
        <v>24</v>
      </c>
      <c r="G18" s="58">
        <v>456771</v>
      </c>
      <c r="H18" s="69">
        <v>45095</v>
      </c>
      <c r="I18" s="58">
        <v>0.2</v>
      </c>
      <c r="J18" s="58">
        <v>1196733.3999999999</v>
      </c>
      <c r="L18" s="75" t="s">
        <v>840</v>
      </c>
      <c r="M18" s="76">
        <f t="shared" ref="M18:M24" si="0">SUMIFS(J:J, C:C, $L18, H:H, "&gt;= "&amp;DATE(2022, VALUE(LEFT(M$17, LEN(M$17)-1)), 1), H:H, "&lt; "&amp;DATE(2022, VALUE(LEFT(M$17, LEN(M$17)-1))+1, 1))</f>
        <v>4354370.95</v>
      </c>
      <c r="N18" s="76">
        <f t="shared" ref="N18:N24" si="1">SUMIFS(J:J, C:C, $L18, H:H, "&gt;= "&amp;DATE(2022, VALUE(LEFT(N$17, LEN(N$17)-1)), 1), H:H, "&lt; "&amp;DATE(2022, VALUE(LEFT(N$17, LEN(N$17)-1))+1, 1))</f>
        <v>0</v>
      </c>
      <c r="O18" s="76">
        <f>M18-N18</f>
        <v>4354370.95</v>
      </c>
      <c r="P18" s="76">
        <f t="shared" ref="P18:P24" si="2">SUMIFS(J:J, C:C, $L18, H:H, "&gt;= "&amp;DATE(2022, VALUE(LEFT(O$17, LEN(O$17)-1)), 1), H:H, "&lt; "&amp;DATE(2022, VALUE(LEFT(O$17, LEN(O$17)-1))+1, 1))</f>
        <v>0</v>
      </c>
      <c r="Q18" s="76">
        <f>N18-O18</f>
        <v>-4354370.95</v>
      </c>
      <c r="R18" s="76">
        <f t="shared" ref="R18:R24" si="3">SUMIFS(J:J, C:C, $L18, H:H, "&gt;= "&amp;DATE(2022, VALUE(LEFT(P$17, LEN(P$17)-1)), 1), H:H, "&lt; "&amp;DATE(2022, VALUE(LEFT(P$17, LEN(P$17)-1))+1, 1))</f>
        <v>4688346.8600000003</v>
      </c>
      <c r="S18" s="76">
        <f>O18-P18</f>
        <v>4354370.95</v>
      </c>
      <c r="T18" s="76">
        <f t="shared" ref="T18:T24" si="4">SUMIFS(J:J, C:C, $L18, H:H, "&gt;= "&amp;DATE(2022, VALUE(LEFT(Q$17, LEN(Q$17)-1)), 1), H:H, "&lt; "&amp;DATE(2022, VALUE(LEFT(Q$17, LEN(Q$17)-1))+1, 1))</f>
        <v>0</v>
      </c>
      <c r="U18" s="76">
        <f>P18-Q18</f>
        <v>4354370.95</v>
      </c>
      <c r="V18" s="76">
        <f t="shared" ref="V18:V24" si="5">SUMIFS(J:J, C:C, $L18, H:H, "&gt;= "&amp;DATE(2022, VALUE(LEFT(R$17, LEN(R$17)-1)), 1), H:H, "&lt; "&amp;DATE(2022, VALUE(LEFT(R$17, LEN(R$17)-1))+1, 1))</f>
        <v>36940.28</v>
      </c>
      <c r="W18" s="76">
        <f>Q18-R18</f>
        <v>-9042717.8100000005</v>
      </c>
    </row>
    <row r="19" spans="1:23" ht="18">
      <c r="A19" s="58" t="s">
        <v>740</v>
      </c>
      <c r="B19" s="58" t="s">
        <v>797</v>
      </c>
      <c r="C19" s="58" t="s">
        <v>793</v>
      </c>
      <c r="D19" s="58" t="s">
        <v>791</v>
      </c>
      <c r="E19" s="58">
        <v>3086430</v>
      </c>
      <c r="F19" s="58">
        <v>22</v>
      </c>
      <c r="G19" s="58">
        <v>299659</v>
      </c>
      <c r="H19" s="69">
        <v>44658</v>
      </c>
      <c r="I19" s="58">
        <v>0.45</v>
      </c>
      <c r="J19" s="58">
        <v>418409.64</v>
      </c>
      <c r="L19" s="75" t="s">
        <v>841</v>
      </c>
      <c r="M19" s="76">
        <f t="shared" si="0"/>
        <v>3364502.24</v>
      </c>
      <c r="N19" s="76">
        <f t="shared" si="1"/>
        <v>4221567.54</v>
      </c>
      <c r="O19" s="76">
        <f t="shared" ref="O19:O24" si="6">M19-N19</f>
        <v>-857065.29999999981</v>
      </c>
      <c r="P19" s="76">
        <f t="shared" si="2"/>
        <v>0</v>
      </c>
      <c r="Q19" s="76">
        <f t="shared" ref="Q19:Q24" si="7">N19-O19</f>
        <v>5078632.84</v>
      </c>
      <c r="R19" s="76">
        <f t="shared" si="3"/>
        <v>8359199.0800000001</v>
      </c>
      <c r="S19" s="76">
        <f t="shared" ref="S19:S24" si="8">O19-P19</f>
        <v>-857065.29999999981</v>
      </c>
      <c r="T19" s="76">
        <f t="shared" si="4"/>
        <v>0</v>
      </c>
      <c r="U19" s="76">
        <f t="shared" ref="U19:U24" si="9">P19-Q19</f>
        <v>-5078632.84</v>
      </c>
      <c r="V19" s="76">
        <f t="shared" si="5"/>
        <v>1101280.28</v>
      </c>
      <c r="W19" s="76">
        <f t="shared" ref="W19:W24" si="10">Q19-R19</f>
        <v>-3280566.24</v>
      </c>
    </row>
    <row r="20" spans="1:23" ht="18">
      <c r="A20" s="58" t="s">
        <v>744</v>
      </c>
      <c r="B20" s="58" t="s">
        <v>809</v>
      </c>
      <c r="C20" s="58" t="s">
        <v>788</v>
      </c>
      <c r="D20" s="58" t="s">
        <v>811</v>
      </c>
      <c r="E20" s="58">
        <v>4249078</v>
      </c>
      <c r="F20" s="58">
        <v>18</v>
      </c>
      <c r="G20" s="58">
        <v>157389</v>
      </c>
      <c r="H20" s="69">
        <v>45282</v>
      </c>
      <c r="I20" s="58">
        <v>0.38</v>
      </c>
      <c r="J20" s="58">
        <v>2390881.7999999998</v>
      </c>
      <c r="L20" s="75" t="s">
        <v>842</v>
      </c>
      <c r="M20" s="76">
        <f t="shared" si="0"/>
        <v>4066092.02</v>
      </c>
      <c r="N20" s="76">
        <f t="shared" si="1"/>
        <v>78402.55</v>
      </c>
      <c r="O20" s="76">
        <f t="shared" si="6"/>
        <v>3987689.47</v>
      </c>
      <c r="P20" s="76">
        <f t="shared" si="2"/>
        <v>0</v>
      </c>
      <c r="Q20" s="76">
        <f t="shared" si="7"/>
        <v>-3909286.9200000004</v>
      </c>
      <c r="R20" s="76">
        <f t="shared" si="3"/>
        <v>9411595.1499999985</v>
      </c>
      <c r="S20" s="76">
        <f t="shared" si="8"/>
        <v>3987689.47</v>
      </c>
      <c r="T20" s="76">
        <f t="shared" si="4"/>
        <v>0</v>
      </c>
      <c r="U20" s="76">
        <f t="shared" si="9"/>
        <v>3909286.9200000004</v>
      </c>
      <c r="V20" s="76">
        <f t="shared" si="5"/>
        <v>9639268.3100000005</v>
      </c>
      <c r="W20" s="76">
        <f t="shared" si="10"/>
        <v>-13320882.069999998</v>
      </c>
    </row>
    <row r="21" spans="1:23" ht="18">
      <c r="A21" s="58" t="s">
        <v>745</v>
      </c>
      <c r="B21" s="58" t="s">
        <v>797</v>
      </c>
      <c r="C21" s="58" t="s">
        <v>788</v>
      </c>
      <c r="D21" s="58" t="s">
        <v>791</v>
      </c>
      <c r="E21" s="58">
        <v>1825475</v>
      </c>
      <c r="F21" s="58">
        <v>36</v>
      </c>
      <c r="G21" s="58">
        <v>333350</v>
      </c>
      <c r="H21" s="69">
        <v>45600</v>
      </c>
      <c r="I21" s="58">
        <v>0.46</v>
      </c>
      <c r="J21" s="58">
        <v>1854706.12</v>
      </c>
      <c r="L21" s="75" t="s">
        <v>843</v>
      </c>
      <c r="M21" s="76">
        <f t="shared" si="0"/>
        <v>8555304.8600000013</v>
      </c>
      <c r="N21" s="76">
        <f t="shared" si="1"/>
        <v>4279471.3499999996</v>
      </c>
      <c r="O21" s="76">
        <f t="shared" si="6"/>
        <v>4275833.5100000016</v>
      </c>
      <c r="P21" s="76">
        <f t="shared" si="2"/>
        <v>0</v>
      </c>
      <c r="Q21" s="76">
        <f t="shared" si="7"/>
        <v>3637.8399999979883</v>
      </c>
      <c r="R21" s="76">
        <f t="shared" si="3"/>
        <v>521684.46</v>
      </c>
      <c r="S21" s="76">
        <f t="shared" si="8"/>
        <v>4275833.5100000016</v>
      </c>
      <c r="T21" s="76">
        <f t="shared" si="4"/>
        <v>0</v>
      </c>
      <c r="U21" s="76">
        <f t="shared" si="9"/>
        <v>-3637.8399999979883</v>
      </c>
      <c r="V21" s="76">
        <f t="shared" si="5"/>
        <v>2462191.8199999998</v>
      </c>
      <c r="W21" s="76">
        <f t="shared" si="10"/>
        <v>-518046.62000000203</v>
      </c>
    </row>
    <row r="22" spans="1:23" ht="18">
      <c r="A22" s="58" t="s">
        <v>745</v>
      </c>
      <c r="B22" s="58" t="s">
        <v>794</v>
      </c>
      <c r="C22" s="58" t="s">
        <v>793</v>
      </c>
      <c r="D22" s="58" t="s">
        <v>810</v>
      </c>
      <c r="E22" s="58">
        <v>2044411</v>
      </c>
      <c r="F22" s="58">
        <v>33</v>
      </c>
      <c r="G22" s="58">
        <v>386112</v>
      </c>
      <c r="H22" s="69">
        <v>44774</v>
      </c>
      <c r="I22" s="58">
        <v>0.43</v>
      </c>
      <c r="J22" s="58">
        <v>2312092.7200000002</v>
      </c>
      <c r="L22" s="75" t="s">
        <v>844</v>
      </c>
      <c r="M22" s="76">
        <f t="shared" si="0"/>
        <v>2274948.52</v>
      </c>
      <c r="N22" s="76">
        <f t="shared" si="1"/>
        <v>746840.88</v>
      </c>
      <c r="O22" s="76">
        <f t="shared" si="6"/>
        <v>1528107.6400000001</v>
      </c>
      <c r="P22" s="76">
        <f t="shared" si="2"/>
        <v>0</v>
      </c>
      <c r="Q22" s="76">
        <f t="shared" si="7"/>
        <v>-781266.76000000013</v>
      </c>
      <c r="R22" s="76">
        <f t="shared" si="3"/>
        <v>3855082.35</v>
      </c>
      <c r="S22" s="76">
        <f t="shared" si="8"/>
        <v>1528107.6400000001</v>
      </c>
      <c r="T22" s="76">
        <f t="shared" si="4"/>
        <v>0</v>
      </c>
      <c r="U22" s="76">
        <f t="shared" si="9"/>
        <v>781266.76000000013</v>
      </c>
      <c r="V22" s="76">
        <f t="shared" si="5"/>
        <v>5585939.2999999998</v>
      </c>
      <c r="W22" s="76">
        <f t="shared" si="10"/>
        <v>-4636349.1100000003</v>
      </c>
    </row>
    <row r="23" spans="1:23" ht="18">
      <c r="A23" s="58" t="s">
        <v>745</v>
      </c>
      <c r="B23" s="58" t="s">
        <v>808</v>
      </c>
      <c r="C23" s="58" t="s">
        <v>807</v>
      </c>
      <c r="D23" s="58" t="s">
        <v>812</v>
      </c>
      <c r="E23" s="58">
        <v>2105761</v>
      </c>
      <c r="F23" s="58">
        <v>64</v>
      </c>
      <c r="G23" s="58">
        <v>78948</v>
      </c>
      <c r="H23" s="69">
        <v>45264</v>
      </c>
      <c r="I23" s="58">
        <v>0.17</v>
      </c>
      <c r="J23" s="58">
        <v>23983.05</v>
      </c>
      <c r="L23" s="75" t="s">
        <v>845</v>
      </c>
      <c r="M23" s="76">
        <f t="shared" si="0"/>
        <v>1340522.44</v>
      </c>
      <c r="N23" s="76">
        <f t="shared" si="1"/>
        <v>1265879.52</v>
      </c>
      <c r="O23" s="76">
        <f t="shared" si="6"/>
        <v>74642.919999999925</v>
      </c>
      <c r="P23" s="76">
        <f t="shared" si="2"/>
        <v>0</v>
      </c>
      <c r="Q23" s="76">
        <f t="shared" si="7"/>
        <v>1191236.6000000001</v>
      </c>
      <c r="R23" s="76">
        <f t="shared" si="3"/>
        <v>0</v>
      </c>
      <c r="S23" s="76">
        <f t="shared" si="8"/>
        <v>74642.919999999925</v>
      </c>
      <c r="T23" s="76">
        <f t="shared" si="4"/>
        <v>0</v>
      </c>
      <c r="U23" s="76">
        <f t="shared" si="9"/>
        <v>-1191236.6000000001</v>
      </c>
      <c r="V23" s="76">
        <f t="shared" si="5"/>
        <v>1972589.76</v>
      </c>
      <c r="W23" s="76">
        <f t="shared" si="10"/>
        <v>1191236.6000000001</v>
      </c>
    </row>
    <row r="24" spans="1:23" ht="18">
      <c r="A24" s="58" t="s">
        <v>744</v>
      </c>
      <c r="B24" s="58" t="s">
        <v>802</v>
      </c>
      <c r="C24" s="58" t="s">
        <v>798</v>
      </c>
      <c r="D24" s="58" t="s">
        <v>801</v>
      </c>
      <c r="E24" s="58">
        <v>4897155</v>
      </c>
      <c r="F24" s="58">
        <v>69</v>
      </c>
      <c r="G24" s="58">
        <v>318532</v>
      </c>
      <c r="H24" s="69">
        <v>44744</v>
      </c>
      <c r="I24" s="58">
        <v>0.24</v>
      </c>
      <c r="J24" s="58">
        <v>1244687.25</v>
      </c>
      <c r="L24" s="75" t="s">
        <v>846</v>
      </c>
      <c r="M24" s="76">
        <f t="shared" si="0"/>
        <v>9679024.620000001</v>
      </c>
      <c r="N24" s="76">
        <f t="shared" si="1"/>
        <v>400177.12</v>
      </c>
      <c r="O24" s="76">
        <f t="shared" si="6"/>
        <v>9278847.5000000019</v>
      </c>
      <c r="P24" s="76">
        <f t="shared" si="2"/>
        <v>0</v>
      </c>
      <c r="Q24" s="76">
        <f t="shared" si="7"/>
        <v>-8878670.3800000027</v>
      </c>
      <c r="R24" s="76">
        <f t="shared" si="3"/>
        <v>0</v>
      </c>
      <c r="S24" s="76">
        <f t="shared" si="8"/>
        <v>9278847.5000000019</v>
      </c>
      <c r="T24" s="76">
        <f t="shared" si="4"/>
        <v>0</v>
      </c>
      <c r="U24" s="76">
        <f t="shared" si="9"/>
        <v>8878670.3800000027</v>
      </c>
      <c r="V24" s="76">
        <f t="shared" si="5"/>
        <v>1128779.19</v>
      </c>
      <c r="W24" s="76">
        <f t="shared" si="10"/>
        <v>-8878670.3800000027</v>
      </c>
    </row>
    <row r="25" spans="1:23" ht="15">
      <c r="A25" s="58" t="s">
        <v>744</v>
      </c>
      <c r="B25" s="58" t="s">
        <v>794</v>
      </c>
      <c r="C25" s="58" t="s">
        <v>788</v>
      </c>
      <c r="D25" s="58" t="s">
        <v>813</v>
      </c>
      <c r="E25" s="58">
        <v>3246622</v>
      </c>
      <c r="F25" s="58">
        <v>70</v>
      </c>
      <c r="G25" s="58">
        <v>204652</v>
      </c>
      <c r="H25" s="69">
        <v>45330</v>
      </c>
      <c r="I25" s="58">
        <v>0.17</v>
      </c>
      <c r="J25" s="58">
        <v>1087602.6000000001</v>
      </c>
    </row>
    <row r="26" spans="1:23" ht="15">
      <c r="A26" s="58" t="s">
        <v>742</v>
      </c>
      <c r="B26" s="58" t="s">
        <v>792</v>
      </c>
      <c r="C26" s="58" t="s">
        <v>798</v>
      </c>
      <c r="D26" s="58" t="s">
        <v>805</v>
      </c>
      <c r="E26" s="58">
        <v>1069605</v>
      </c>
      <c r="F26" s="58">
        <v>39</v>
      </c>
      <c r="G26" s="58">
        <v>47902</v>
      </c>
      <c r="H26" s="69">
        <v>45295</v>
      </c>
      <c r="I26" s="58">
        <v>0.37</v>
      </c>
      <c r="J26" s="58">
        <v>3447808.4</v>
      </c>
      <c r="M26" s="64"/>
      <c r="N26" s="64"/>
      <c r="O26" s="64"/>
      <c r="P26" s="64"/>
      <c r="Q26" s="64"/>
      <c r="R26" s="64"/>
      <c r="S26" s="64"/>
      <c r="T26" s="64"/>
      <c r="U26" s="64"/>
      <c r="V26" s="64"/>
      <c r="W26" s="64"/>
    </row>
    <row r="27" spans="1:23" ht="16">
      <c r="A27" s="58" t="s">
        <v>743</v>
      </c>
      <c r="B27" s="58" t="s">
        <v>814</v>
      </c>
      <c r="C27" s="58" t="s">
        <v>799</v>
      </c>
      <c r="D27" s="58" t="s">
        <v>789</v>
      </c>
      <c r="E27" s="58">
        <v>4561637</v>
      </c>
      <c r="F27" s="58">
        <v>16</v>
      </c>
      <c r="G27" s="58">
        <v>91208</v>
      </c>
      <c r="H27" s="69">
        <v>44904</v>
      </c>
      <c r="I27" s="58">
        <v>0.06</v>
      </c>
      <c r="J27" s="58">
        <v>1238477.8799999999</v>
      </c>
      <c r="M27" s="65"/>
      <c r="N27" s="73"/>
      <c r="O27" s="65"/>
      <c r="P27" s="65"/>
      <c r="Q27" s="65"/>
      <c r="R27" s="65"/>
      <c r="S27" s="65"/>
      <c r="T27" s="65"/>
      <c r="U27" s="65"/>
      <c r="V27" s="65"/>
      <c r="W27" s="65"/>
    </row>
    <row r="28" spans="1:23" ht="16">
      <c r="A28" s="58" t="s">
        <v>745</v>
      </c>
      <c r="B28" s="58" t="s">
        <v>804</v>
      </c>
      <c r="C28" s="58" t="s">
        <v>788</v>
      </c>
      <c r="D28" s="58" t="s">
        <v>811</v>
      </c>
      <c r="E28" s="58">
        <v>2749600</v>
      </c>
      <c r="F28" s="58">
        <v>79</v>
      </c>
      <c r="G28" s="58">
        <v>331016</v>
      </c>
      <c r="H28" s="69">
        <v>45181</v>
      </c>
      <c r="I28" s="58">
        <v>0.49</v>
      </c>
      <c r="J28" s="58">
        <v>353556.63</v>
      </c>
      <c r="M28" s="65"/>
      <c r="N28" s="65"/>
      <c r="O28" s="65"/>
      <c r="P28" s="65"/>
      <c r="Q28" s="65"/>
      <c r="R28" s="65"/>
      <c r="S28" s="65"/>
      <c r="T28" s="65"/>
      <c r="U28" s="65"/>
      <c r="V28" s="65"/>
      <c r="W28" s="65"/>
    </row>
    <row r="29" spans="1:23" ht="16">
      <c r="A29" s="58" t="s">
        <v>749</v>
      </c>
      <c r="B29" s="58" t="s">
        <v>792</v>
      </c>
      <c r="C29" s="58" t="s">
        <v>788</v>
      </c>
      <c r="D29" s="58" t="s">
        <v>801</v>
      </c>
      <c r="E29" s="58">
        <v>3651270</v>
      </c>
      <c r="F29" s="58">
        <v>57</v>
      </c>
      <c r="G29" s="58">
        <v>323644</v>
      </c>
      <c r="H29" s="69">
        <v>45647</v>
      </c>
      <c r="I29" s="58">
        <v>0.38</v>
      </c>
      <c r="J29" s="58">
        <v>658268.52</v>
      </c>
      <c r="M29" s="65"/>
      <c r="N29" s="65"/>
      <c r="O29" s="65"/>
      <c r="P29" s="65"/>
      <c r="Q29" s="65"/>
      <c r="R29" s="65"/>
      <c r="S29" s="65"/>
      <c r="T29" s="65"/>
      <c r="U29" s="65"/>
      <c r="V29" s="65"/>
      <c r="W29" s="65"/>
    </row>
    <row r="30" spans="1:23" ht="16">
      <c r="A30" s="58" t="s">
        <v>749</v>
      </c>
      <c r="B30" s="58" t="s">
        <v>787</v>
      </c>
      <c r="C30" s="58" t="s">
        <v>795</v>
      </c>
      <c r="D30" s="58" t="s">
        <v>803</v>
      </c>
      <c r="E30" s="58">
        <v>3961691</v>
      </c>
      <c r="F30" s="58">
        <v>52</v>
      </c>
      <c r="G30" s="58">
        <v>266834</v>
      </c>
      <c r="H30" s="69">
        <v>45287</v>
      </c>
      <c r="I30" s="58">
        <v>0.32</v>
      </c>
      <c r="J30" s="58">
        <v>1043209.5</v>
      </c>
      <c r="M30" s="65"/>
      <c r="N30" s="65"/>
      <c r="O30" s="65"/>
      <c r="P30" s="65"/>
      <c r="Q30" s="65"/>
      <c r="R30" s="65"/>
      <c r="S30" s="65"/>
      <c r="T30" s="65"/>
      <c r="U30" s="65"/>
      <c r="V30" s="65"/>
      <c r="W30" s="65"/>
    </row>
    <row r="31" spans="1:23" ht="16">
      <c r="A31" s="58" t="s">
        <v>749</v>
      </c>
      <c r="B31" s="58" t="s">
        <v>794</v>
      </c>
      <c r="C31" s="58" t="s">
        <v>788</v>
      </c>
      <c r="D31" s="58" t="s">
        <v>800</v>
      </c>
      <c r="E31" s="58">
        <v>1835725</v>
      </c>
      <c r="F31" s="58">
        <v>67</v>
      </c>
      <c r="G31" s="58">
        <v>291816</v>
      </c>
      <c r="H31" s="69">
        <v>45447</v>
      </c>
      <c r="I31" s="58">
        <v>0.43</v>
      </c>
      <c r="J31" s="58">
        <v>3067831.77</v>
      </c>
      <c r="M31" s="65"/>
      <c r="N31" s="65"/>
      <c r="O31" s="65"/>
      <c r="P31" s="65"/>
      <c r="Q31" s="65"/>
      <c r="R31" s="65"/>
      <c r="S31" s="65"/>
      <c r="T31" s="65"/>
      <c r="U31" s="65"/>
      <c r="V31" s="65"/>
      <c r="W31" s="65"/>
    </row>
    <row r="32" spans="1:23" ht="15">
      <c r="A32" s="58" t="s">
        <v>744</v>
      </c>
      <c r="B32" s="58" t="s">
        <v>792</v>
      </c>
      <c r="C32" s="58" t="s">
        <v>807</v>
      </c>
      <c r="D32" s="58" t="s">
        <v>813</v>
      </c>
      <c r="E32" s="58">
        <v>3922417</v>
      </c>
      <c r="F32" s="58">
        <v>79</v>
      </c>
      <c r="G32" s="58">
        <v>312498</v>
      </c>
      <c r="H32" s="69">
        <v>45073</v>
      </c>
      <c r="I32" s="58">
        <v>0.44</v>
      </c>
      <c r="J32" s="58">
        <v>1093755.8999999999</v>
      </c>
    </row>
    <row r="33" spans="1:10" ht="15">
      <c r="A33" s="58" t="s">
        <v>749</v>
      </c>
      <c r="B33" s="58" t="s">
        <v>790</v>
      </c>
      <c r="C33" s="58" t="s">
        <v>799</v>
      </c>
      <c r="D33" s="58" t="s">
        <v>803</v>
      </c>
      <c r="E33" s="58">
        <v>4772527</v>
      </c>
      <c r="F33" s="58">
        <v>15</v>
      </c>
      <c r="G33" s="58">
        <v>132183</v>
      </c>
      <c r="H33" s="69">
        <v>45011</v>
      </c>
      <c r="I33" s="58">
        <v>0.44</v>
      </c>
      <c r="J33" s="58">
        <v>333222.89</v>
      </c>
    </row>
    <row r="34" spans="1:10" ht="15">
      <c r="A34" s="58" t="s">
        <v>742</v>
      </c>
      <c r="B34" s="58" t="s">
        <v>794</v>
      </c>
      <c r="C34" s="58" t="s">
        <v>809</v>
      </c>
      <c r="D34" s="58" t="s">
        <v>805</v>
      </c>
      <c r="E34" s="58">
        <v>4340492</v>
      </c>
      <c r="F34" s="58">
        <v>48</v>
      </c>
      <c r="G34" s="58">
        <v>189575</v>
      </c>
      <c r="H34" s="69">
        <v>45149</v>
      </c>
      <c r="I34" s="58">
        <v>0.01</v>
      </c>
      <c r="J34" s="58">
        <v>1667168.96</v>
      </c>
    </row>
    <row r="35" spans="1:10" ht="15">
      <c r="A35" s="58" t="s">
        <v>744</v>
      </c>
      <c r="B35" s="58" t="s">
        <v>814</v>
      </c>
      <c r="C35" s="58" t="s">
        <v>795</v>
      </c>
      <c r="D35" s="58" t="s">
        <v>805</v>
      </c>
      <c r="E35" s="58">
        <v>1910421</v>
      </c>
      <c r="F35" s="58">
        <v>9</v>
      </c>
      <c r="G35" s="58">
        <v>34228</v>
      </c>
      <c r="H35" s="69">
        <v>45358</v>
      </c>
      <c r="I35" s="58">
        <v>0.35</v>
      </c>
      <c r="J35" s="58">
        <v>1591237.44</v>
      </c>
    </row>
    <row r="36" spans="1:10" ht="15">
      <c r="A36" s="58" t="s">
        <v>745</v>
      </c>
      <c r="B36" s="58" t="s">
        <v>790</v>
      </c>
      <c r="C36" s="58" t="s">
        <v>795</v>
      </c>
      <c r="D36" s="58" t="s">
        <v>812</v>
      </c>
      <c r="E36" s="58">
        <v>1201586</v>
      </c>
      <c r="F36" s="58">
        <v>68</v>
      </c>
      <c r="G36" s="58">
        <v>59535</v>
      </c>
      <c r="H36" s="69">
        <v>45451</v>
      </c>
      <c r="I36" s="58">
        <v>0.31</v>
      </c>
      <c r="J36" s="58">
        <v>2311118.7200000002</v>
      </c>
    </row>
    <row r="37" spans="1:10" ht="15">
      <c r="A37" s="58" t="s">
        <v>740</v>
      </c>
      <c r="B37" s="58" t="s">
        <v>790</v>
      </c>
      <c r="C37" s="58" t="s">
        <v>798</v>
      </c>
      <c r="D37" s="58" t="s">
        <v>806</v>
      </c>
      <c r="E37" s="58">
        <v>1125765</v>
      </c>
      <c r="F37" s="58">
        <v>68</v>
      </c>
      <c r="G37" s="58">
        <v>175734</v>
      </c>
      <c r="H37" s="69">
        <v>44615</v>
      </c>
      <c r="I37" s="58">
        <v>0.3</v>
      </c>
      <c r="J37" s="58">
        <v>2000016.48</v>
      </c>
    </row>
    <row r="38" spans="1:10" ht="15">
      <c r="A38" s="58" t="s">
        <v>749</v>
      </c>
      <c r="B38" s="58" t="s">
        <v>797</v>
      </c>
      <c r="C38" s="58" t="s">
        <v>788</v>
      </c>
      <c r="D38" s="58" t="s">
        <v>791</v>
      </c>
      <c r="E38" s="58">
        <v>4530523</v>
      </c>
      <c r="F38" s="58">
        <v>36</v>
      </c>
      <c r="G38" s="58">
        <v>38106</v>
      </c>
      <c r="H38" s="69">
        <v>45532</v>
      </c>
      <c r="I38" s="58">
        <v>0.27</v>
      </c>
      <c r="J38" s="58">
        <v>2723328.85</v>
      </c>
    </row>
    <row r="39" spans="1:10" ht="15">
      <c r="A39" s="58" t="s">
        <v>746</v>
      </c>
      <c r="B39" s="58" t="s">
        <v>787</v>
      </c>
      <c r="C39" s="58" t="s">
        <v>795</v>
      </c>
      <c r="D39" s="58" t="s">
        <v>796</v>
      </c>
      <c r="E39" s="58">
        <v>4218622</v>
      </c>
      <c r="F39" s="58">
        <v>68</v>
      </c>
      <c r="G39" s="58">
        <v>58595</v>
      </c>
      <c r="H39" s="69">
        <v>45028</v>
      </c>
      <c r="I39" s="58">
        <v>0.45</v>
      </c>
      <c r="J39" s="58">
        <v>2498169.4</v>
      </c>
    </row>
    <row r="40" spans="1:10" ht="15">
      <c r="A40" s="58" t="s">
        <v>744</v>
      </c>
      <c r="B40" s="58" t="s">
        <v>797</v>
      </c>
      <c r="C40" s="58" t="s">
        <v>788</v>
      </c>
      <c r="D40" s="58" t="s">
        <v>789</v>
      </c>
      <c r="E40" s="58">
        <v>4087798</v>
      </c>
      <c r="F40" s="58">
        <v>19</v>
      </c>
      <c r="G40" s="58">
        <v>302910</v>
      </c>
      <c r="H40" s="69">
        <v>44816</v>
      </c>
      <c r="I40" s="58">
        <v>0.15</v>
      </c>
      <c r="J40" s="58">
        <v>691933.68</v>
      </c>
    </row>
    <row r="41" spans="1:10" ht="15">
      <c r="A41" s="58" t="s">
        <v>740</v>
      </c>
      <c r="B41" s="58" t="s">
        <v>814</v>
      </c>
      <c r="C41" s="58" t="s">
        <v>809</v>
      </c>
      <c r="D41" s="58" t="s">
        <v>805</v>
      </c>
      <c r="E41" s="58">
        <v>4541060</v>
      </c>
      <c r="F41" s="58">
        <v>90</v>
      </c>
      <c r="G41" s="58">
        <v>186740</v>
      </c>
      <c r="H41" s="69">
        <v>45266</v>
      </c>
      <c r="I41" s="58">
        <v>0.1</v>
      </c>
      <c r="J41" s="58">
        <v>2970157.12</v>
      </c>
    </row>
    <row r="42" spans="1:10" ht="15">
      <c r="A42" s="58" t="s">
        <v>749</v>
      </c>
      <c r="B42" s="58" t="s">
        <v>814</v>
      </c>
      <c r="C42" s="58" t="s">
        <v>788</v>
      </c>
      <c r="D42" s="58" t="s">
        <v>812</v>
      </c>
      <c r="E42" s="58">
        <v>2834665</v>
      </c>
      <c r="F42" s="58">
        <v>36</v>
      </c>
      <c r="G42" s="58">
        <v>117715</v>
      </c>
      <c r="H42" s="69">
        <v>45602</v>
      </c>
      <c r="I42" s="58">
        <v>0.14000000000000001</v>
      </c>
      <c r="J42" s="58">
        <v>1706114.9</v>
      </c>
    </row>
    <row r="43" spans="1:10" ht="15">
      <c r="A43" s="58" t="s">
        <v>746</v>
      </c>
      <c r="B43" s="58" t="s">
        <v>804</v>
      </c>
      <c r="C43" s="58" t="s">
        <v>788</v>
      </c>
      <c r="D43" s="58" t="s">
        <v>813</v>
      </c>
      <c r="E43" s="58">
        <v>1011183</v>
      </c>
      <c r="F43" s="58">
        <v>4</v>
      </c>
      <c r="G43" s="58">
        <v>226263</v>
      </c>
      <c r="H43" s="69">
        <v>45639</v>
      </c>
      <c r="I43" s="58">
        <v>0.28000000000000003</v>
      </c>
      <c r="J43" s="58">
        <v>1951570.4</v>
      </c>
    </row>
    <row r="44" spans="1:10" ht="15">
      <c r="A44" s="58" t="s">
        <v>741</v>
      </c>
      <c r="B44" s="58" t="s">
        <v>804</v>
      </c>
      <c r="C44" s="58" t="s">
        <v>809</v>
      </c>
      <c r="D44" s="58" t="s">
        <v>791</v>
      </c>
      <c r="E44" s="58">
        <v>3698239</v>
      </c>
      <c r="F44" s="58">
        <v>88</v>
      </c>
      <c r="G44" s="58">
        <v>473654</v>
      </c>
      <c r="H44" s="69">
        <v>44768</v>
      </c>
      <c r="I44" s="58">
        <v>0.28000000000000003</v>
      </c>
      <c r="J44" s="58">
        <v>3642141.72</v>
      </c>
    </row>
    <row r="45" spans="1:10" ht="15">
      <c r="A45" s="58" t="s">
        <v>748</v>
      </c>
      <c r="B45" s="58" t="s">
        <v>792</v>
      </c>
      <c r="C45" s="58" t="s">
        <v>788</v>
      </c>
      <c r="D45" s="58" t="s">
        <v>803</v>
      </c>
      <c r="E45" s="58">
        <v>2627265</v>
      </c>
      <c r="F45" s="58">
        <v>94</v>
      </c>
      <c r="G45" s="58">
        <v>132037</v>
      </c>
      <c r="H45" s="69">
        <v>44766</v>
      </c>
      <c r="I45" s="58">
        <v>0.2</v>
      </c>
      <c r="J45" s="58">
        <v>2440073.6800000002</v>
      </c>
    </row>
    <row r="46" spans="1:10" ht="15">
      <c r="A46" s="58" t="s">
        <v>749</v>
      </c>
      <c r="B46" s="58" t="s">
        <v>794</v>
      </c>
      <c r="C46" s="58" t="s">
        <v>807</v>
      </c>
      <c r="D46" s="58" t="s">
        <v>810</v>
      </c>
      <c r="E46" s="58">
        <v>4895055</v>
      </c>
      <c r="F46" s="58">
        <v>8</v>
      </c>
      <c r="G46" s="58">
        <v>166734</v>
      </c>
      <c r="H46" s="69">
        <v>44900</v>
      </c>
      <c r="I46" s="58">
        <v>0.05</v>
      </c>
      <c r="J46" s="58">
        <v>1294133.51</v>
      </c>
    </row>
    <row r="47" spans="1:10" ht="15">
      <c r="A47" s="58" t="s">
        <v>740</v>
      </c>
      <c r="B47" s="58" t="s">
        <v>787</v>
      </c>
      <c r="C47" s="58" t="s">
        <v>799</v>
      </c>
      <c r="D47" s="58" t="s">
        <v>796</v>
      </c>
      <c r="E47" s="58">
        <v>632679</v>
      </c>
      <c r="F47" s="58">
        <v>12</v>
      </c>
      <c r="G47" s="58">
        <v>495313</v>
      </c>
      <c r="H47" s="69">
        <v>44781</v>
      </c>
      <c r="I47" s="58">
        <v>0.11</v>
      </c>
      <c r="J47" s="58">
        <v>2779206.97</v>
      </c>
    </row>
    <row r="48" spans="1:10" ht="15">
      <c r="A48" s="58" t="s">
        <v>745</v>
      </c>
      <c r="B48" s="58" t="s">
        <v>797</v>
      </c>
      <c r="C48" s="58" t="s">
        <v>798</v>
      </c>
      <c r="D48" s="58" t="s">
        <v>805</v>
      </c>
      <c r="E48" s="58">
        <v>3168502</v>
      </c>
      <c r="F48" s="58">
        <v>50</v>
      </c>
      <c r="G48" s="58">
        <v>425082</v>
      </c>
      <c r="H48" s="69">
        <v>45033</v>
      </c>
      <c r="I48" s="58">
        <v>0.28000000000000003</v>
      </c>
      <c r="J48" s="58">
        <v>2451117.5099999998</v>
      </c>
    </row>
    <row r="49" spans="1:10" ht="15">
      <c r="A49" s="58" t="s">
        <v>743</v>
      </c>
      <c r="B49" s="58" t="s">
        <v>809</v>
      </c>
      <c r="C49" s="58" t="s">
        <v>788</v>
      </c>
      <c r="D49" s="58" t="s">
        <v>810</v>
      </c>
      <c r="E49" s="58">
        <v>2043711</v>
      </c>
      <c r="F49" s="58">
        <v>98</v>
      </c>
      <c r="G49" s="58">
        <v>59932</v>
      </c>
      <c r="H49" s="69">
        <v>45615</v>
      </c>
      <c r="I49" s="58">
        <v>0.31</v>
      </c>
      <c r="J49" s="58">
        <v>572404.44999999995</v>
      </c>
    </row>
    <row r="50" spans="1:10" ht="15">
      <c r="A50" s="58" t="s">
        <v>747</v>
      </c>
      <c r="B50" s="58" t="s">
        <v>814</v>
      </c>
      <c r="C50" s="58" t="s">
        <v>807</v>
      </c>
      <c r="D50" s="58" t="s">
        <v>813</v>
      </c>
      <c r="E50" s="58">
        <v>263042</v>
      </c>
      <c r="F50" s="58">
        <v>35</v>
      </c>
      <c r="G50" s="58">
        <v>187740</v>
      </c>
      <c r="H50" s="69">
        <v>45007</v>
      </c>
      <c r="I50" s="58">
        <v>0.31</v>
      </c>
      <c r="J50" s="58">
        <v>4265399.5999999996</v>
      </c>
    </row>
    <row r="51" spans="1:10" ht="15">
      <c r="A51" s="58" t="s">
        <v>747</v>
      </c>
      <c r="B51" s="58" t="s">
        <v>790</v>
      </c>
      <c r="C51" s="58" t="s">
        <v>798</v>
      </c>
      <c r="D51" s="58" t="s">
        <v>805</v>
      </c>
      <c r="E51" s="58">
        <v>3237190</v>
      </c>
      <c r="F51" s="58">
        <v>61</v>
      </c>
      <c r="G51" s="58">
        <v>397151</v>
      </c>
      <c r="H51" s="69">
        <v>45053</v>
      </c>
      <c r="I51" s="58">
        <v>0.01</v>
      </c>
      <c r="J51" s="58">
        <v>455937.21</v>
      </c>
    </row>
    <row r="52" spans="1:10" ht="15">
      <c r="A52" s="58" t="s">
        <v>744</v>
      </c>
      <c r="B52" s="58" t="s">
        <v>804</v>
      </c>
      <c r="C52" s="58" t="s">
        <v>793</v>
      </c>
      <c r="D52" s="58" t="s">
        <v>803</v>
      </c>
      <c r="E52" s="58">
        <v>322971</v>
      </c>
      <c r="F52" s="58">
        <v>22</v>
      </c>
      <c r="G52" s="58">
        <v>296623</v>
      </c>
      <c r="H52" s="69">
        <v>44564</v>
      </c>
      <c r="I52" s="58">
        <v>0.49</v>
      </c>
      <c r="J52" s="58">
        <v>792440.04</v>
      </c>
    </row>
    <row r="53" spans="1:10" ht="15">
      <c r="A53" s="58" t="s">
        <v>743</v>
      </c>
      <c r="B53" s="58" t="s">
        <v>790</v>
      </c>
      <c r="C53" s="58" t="s">
        <v>793</v>
      </c>
      <c r="D53" s="58" t="s">
        <v>806</v>
      </c>
      <c r="E53" s="58">
        <v>398263</v>
      </c>
      <c r="F53" s="58">
        <v>17</v>
      </c>
      <c r="G53" s="58">
        <v>175223</v>
      </c>
      <c r="H53" s="69">
        <v>44908</v>
      </c>
      <c r="I53" s="58">
        <v>0.08</v>
      </c>
      <c r="J53" s="58">
        <v>3367811.52</v>
      </c>
    </row>
    <row r="54" spans="1:10" ht="15">
      <c r="A54" s="55" t="s">
        <v>749</v>
      </c>
      <c r="B54" s="56" t="s">
        <v>797</v>
      </c>
      <c r="C54" s="56" t="s">
        <v>799</v>
      </c>
      <c r="D54" s="56" t="s">
        <v>810</v>
      </c>
      <c r="E54" s="56">
        <v>2815940</v>
      </c>
      <c r="F54" s="56">
        <v>76</v>
      </c>
      <c r="G54" s="56">
        <v>496631</v>
      </c>
      <c r="H54" s="68">
        <v>45417</v>
      </c>
      <c r="I54" s="56">
        <v>0.49</v>
      </c>
      <c r="J54" s="56">
        <v>486623.19</v>
      </c>
    </row>
    <row r="55" spans="1:10" ht="15">
      <c r="A55" s="58" t="s">
        <v>740</v>
      </c>
      <c r="B55" s="58" t="s">
        <v>792</v>
      </c>
      <c r="C55" s="58" t="s">
        <v>793</v>
      </c>
      <c r="D55" s="58" t="s">
        <v>801</v>
      </c>
      <c r="E55" s="58">
        <v>3062185</v>
      </c>
      <c r="F55" s="58">
        <v>77</v>
      </c>
      <c r="G55" s="58">
        <v>168392</v>
      </c>
      <c r="H55" s="69">
        <v>45605</v>
      </c>
      <c r="I55" s="58">
        <v>0.02</v>
      </c>
      <c r="J55" s="58">
        <v>3008686.35</v>
      </c>
    </row>
    <row r="56" spans="1:10" ht="15">
      <c r="A56" s="58" t="s">
        <v>745</v>
      </c>
      <c r="B56" s="58" t="s">
        <v>804</v>
      </c>
      <c r="C56" s="58" t="s">
        <v>807</v>
      </c>
      <c r="D56" s="58" t="s">
        <v>805</v>
      </c>
      <c r="E56" s="58">
        <v>2696142</v>
      </c>
      <c r="F56" s="58">
        <v>25</v>
      </c>
      <c r="G56" s="58">
        <v>377050</v>
      </c>
      <c r="H56" s="69">
        <v>45080</v>
      </c>
      <c r="I56" s="58">
        <v>0.31</v>
      </c>
      <c r="J56" s="58">
        <v>4499549.67</v>
      </c>
    </row>
    <row r="57" spans="1:10" ht="15">
      <c r="A57" s="58" t="s">
        <v>748</v>
      </c>
      <c r="B57" s="58" t="s">
        <v>790</v>
      </c>
      <c r="C57" s="58" t="s">
        <v>809</v>
      </c>
      <c r="D57" s="58" t="s">
        <v>811</v>
      </c>
      <c r="E57" s="58">
        <v>3976701</v>
      </c>
      <c r="F57" s="58">
        <v>94</v>
      </c>
      <c r="G57" s="58">
        <v>304628</v>
      </c>
      <c r="H57" s="69">
        <v>45036</v>
      </c>
      <c r="I57" s="58">
        <v>0.1</v>
      </c>
      <c r="J57" s="58">
        <v>34202.559999999998</v>
      </c>
    </row>
    <row r="58" spans="1:10" ht="15">
      <c r="A58" s="58" t="s">
        <v>745</v>
      </c>
      <c r="B58" s="58" t="s">
        <v>790</v>
      </c>
      <c r="C58" s="58" t="s">
        <v>809</v>
      </c>
      <c r="D58" s="58" t="s">
        <v>811</v>
      </c>
      <c r="E58" s="58">
        <v>1251490</v>
      </c>
      <c r="F58" s="58">
        <v>63</v>
      </c>
      <c r="G58" s="58">
        <v>244952</v>
      </c>
      <c r="H58" s="69">
        <v>45293</v>
      </c>
      <c r="I58" s="58">
        <v>7.0000000000000007E-2</v>
      </c>
      <c r="J58" s="58">
        <v>2841143.8</v>
      </c>
    </row>
    <row r="59" spans="1:10" ht="15">
      <c r="A59" s="58" t="s">
        <v>745</v>
      </c>
      <c r="B59" s="58" t="s">
        <v>790</v>
      </c>
      <c r="C59" s="58" t="s">
        <v>799</v>
      </c>
      <c r="D59" s="58" t="s">
        <v>812</v>
      </c>
      <c r="E59" s="58">
        <v>3186092</v>
      </c>
      <c r="F59" s="58">
        <v>28</v>
      </c>
      <c r="G59" s="58">
        <v>45883</v>
      </c>
      <c r="H59" s="69">
        <v>45012</v>
      </c>
      <c r="I59" s="58">
        <v>7.0000000000000007E-2</v>
      </c>
      <c r="J59" s="58">
        <v>1597649.48</v>
      </c>
    </row>
    <row r="60" spans="1:10" ht="15">
      <c r="A60" s="58" t="s">
        <v>740</v>
      </c>
      <c r="B60" s="58" t="s">
        <v>787</v>
      </c>
      <c r="C60" s="58" t="s">
        <v>788</v>
      </c>
      <c r="D60" s="58" t="s">
        <v>815</v>
      </c>
      <c r="E60" s="58">
        <v>1129378</v>
      </c>
      <c r="F60" s="58">
        <v>24</v>
      </c>
      <c r="G60" s="58">
        <v>443033</v>
      </c>
      <c r="H60" s="69">
        <v>45439</v>
      </c>
      <c r="I60" s="58">
        <v>0.46</v>
      </c>
      <c r="J60" s="58">
        <v>48775.23</v>
      </c>
    </row>
    <row r="61" spans="1:10" ht="15">
      <c r="A61" s="58" t="s">
        <v>745</v>
      </c>
      <c r="B61" s="58" t="s">
        <v>814</v>
      </c>
      <c r="C61" s="58" t="s">
        <v>807</v>
      </c>
      <c r="D61" s="58" t="s">
        <v>796</v>
      </c>
      <c r="E61" s="58">
        <v>988504</v>
      </c>
      <c r="F61" s="58">
        <v>26</v>
      </c>
      <c r="G61" s="58">
        <v>46086</v>
      </c>
      <c r="H61" s="69">
        <v>45539</v>
      </c>
      <c r="I61" s="58">
        <v>0.46</v>
      </c>
      <c r="J61" s="58">
        <v>475885.59</v>
      </c>
    </row>
    <row r="62" spans="1:10" ht="15">
      <c r="A62" s="58" t="s">
        <v>740</v>
      </c>
      <c r="B62" s="58" t="s">
        <v>814</v>
      </c>
      <c r="C62" s="58" t="s">
        <v>807</v>
      </c>
      <c r="D62" s="58" t="s">
        <v>811</v>
      </c>
      <c r="E62" s="58">
        <v>578200</v>
      </c>
      <c r="F62" s="58">
        <v>51</v>
      </c>
      <c r="G62" s="58">
        <v>331728</v>
      </c>
      <c r="H62" s="69">
        <v>45367</v>
      </c>
      <c r="I62" s="58">
        <v>0.32</v>
      </c>
      <c r="J62" s="58">
        <v>1847979.09</v>
      </c>
    </row>
    <row r="63" spans="1:10" ht="15">
      <c r="A63" s="58" t="s">
        <v>740</v>
      </c>
      <c r="B63" s="58" t="s">
        <v>790</v>
      </c>
      <c r="C63" s="58" t="s">
        <v>807</v>
      </c>
      <c r="D63" s="58" t="s">
        <v>796</v>
      </c>
      <c r="E63" s="58">
        <v>1172745</v>
      </c>
      <c r="F63" s="58">
        <v>72</v>
      </c>
      <c r="G63" s="58">
        <v>254002</v>
      </c>
      <c r="H63" s="69">
        <v>45638</v>
      </c>
      <c r="I63" s="58">
        <v>0.31</v>
      </c>
      <c r="J63" s="58">
        <v>1616827.5</v>
      </c>
    </row>
    <row r="64" spans="1:10" ht="15">
      <c r="A64" s="58" t="s">
        <v>744</v>
      </c>
      <c r="B64" s="58" t="s">
        <v>809</v>
      </c>
      <c r="C64" s="58" t="s">
        <v>799</v>
      </c>
      <c r="D64" s="58" t="s">
        <v>805</v>
      </c>
      <c r="E64" s="58">
        <v>1613636</v>
      </c>
      <c r="F64" s="58">
        <v>15</v>
      </c>
      <c r="G64" s="58">
        <v>67291</v>
      </c>
      <c r="H64" s="69">
        <v>44986</v>
      </c>
      <c r="I64" s="58">
        <v>0.31</v>
      </c>
      <c r="J64" s="58">
        <v>102538.6</v>
      </c>
    </row>
    <row r="65" spans="1:10" ht="15">
      <c r="A65" s="58" t="s">
        <v>743</v>
      </c>
      <c r="B65" s="58" t="s">
        <v>804</v>
      </c>
      <c r="C65" s="58" t="s">
        <v>809</v>
      </c>
      <c r="D65" s="58" t="s">
        <v>796</v>
      </c>
      <c r="E65" s="58">
        <v>3596489</v>
      </c>
      <c r="F65" s="58">
        <v>1</v>
      </c>
      <c r="G65" s="58">
        <v>421821</v>
      </c>
      <c r="H65" s="69">
        <v>44582</v>
      </c>
      <c r="I65" s="58">
        <v>0.4</v>
      </c>
      <c r="J65" s="58">
        <v>4160082.24</v>
      </c>
    </row>
    <row r="66" spans="1:10" ht="15">
      <c r="A66" s="58" t="s">
        <v>746</v>
      </c>
      <c r="B66" s="58" t="s">
        <v>790</v>
      </c>
      <c r="C66" s="58" t="s">
        <v>798</v>
      </c>
      <c r="D66" s="58" t="s">
        <v>791</v>
      </c>
      <c r="E66" s="58">
        <v>3770161</v>
      </c>
      <c r="F66" s="58">
        <v>11</v>
      </c>
      <c r="G66" s="58">
        <v>11277</v>
      </c>
      <c r="H66" s="69">
        <v>44897</v>
      </c>
      <c r="I66" s="58">
        <v>0.2</v>
      </c>
      <c r="J66" s="58">
        <v>782422.74</v>
      </c>
    </row>
    <row r="67" spans="1:10" ht="15">
      <c r="A67" s="58" t="s">
        <v>749</v>
      </c>
      <c r="B67" s="58" t="s">
        <v>814</v>
      </c>
      <c r="C67" s="58" t="s">
        <v>793</v>
      </c>
      <c r="D67" s="58" t="s">
        <v>803</v>
      </c>
      <c r="E67" s="58">
        <v>4254971</v>
      </c>
      <c r="F67" s="58">
        <v>25</v>
      </c>
      <c r="G67" s="58">
        <v>299812</v>
      </c>
      <c r="H67" s="69">
        <v>45126</v>
      </c>
      <c r="I67" s="58">
        <v>0.5</v>
      </c>
      <c r="J67" s="58">
        <v>956425.68</v>
      </c>
    </row>
    <row r="68" spans="1:10" ht="15">
      <c r="A68" s="58" t="s">
        <v>748</v>
      </c>
      <c r="B68" s="58" t="s">
        <v>792</v>
      </c>
      <c r="C68" s="58" t="s">
        <v>798</v>
      </c>
      <c r="D68" s="58" t="s">
        <v>800</v>
      </c>
      <c r="E68" s="58">
        <v>4649520</v>
      </c>
      <c r="F68" s="58">
        <v>83</v>
      </c>
      <c r="G68" s="58">
        <v>272237</v>
      </c>
      <c r="H68" s="69">
        <v>45048</v>
      </c>
      <c r="I68" s="58">
        <v>0.3</v>
      </c>
      <c r="J68" s="58">
        <v>1935015.38</v>
      </c>
    </row>
    <row r="69" spans="1:10" ht="15">
      <c r="A69" s="58" t="s">
        <v>741</v>
      </c>
      <c r="B69" s="58" t="s">
        <v>814</v>
      </c>
      <c r="C69" s="58" t="s">
        <v>799</v>
      </c>
      <c r="D69" s="58" t="s">
        <v>789</v>
      </c>
      <c r="E69" s="58">
        <v>2620750</v>
      </c>
      <c r="F69" s="58">
        <v>72</v>
      </c>
      <c r="G69" s="58">
        <v>164861</v>
      </c>
      <c r="H69" s="69">
        <v>45095</v>
      </c>
      <c r="I69" s="58">
        <v>0.32</v>
      </c>
      <c r="J69" s="58">
        <v>710669.7</v>
      </c>
    </row>
    <row r="70" spans="1:10" ht="15">
      <c r="A70" s="58" t="s">
        <v>740</v>
      </c>
      <c r="B70" s="58" t="s">
        <v>814</v>
      </c>
      <c r="C70" s="58" t="s">
        <v>793</v>
      </c>
      <c r="D70" s="58" t="s">
        <v>800</v>
      </c>
      <c r="E70" s="58">
        <v>365784</v>
      </c>
      <c r="F70" s="58">
        <v>28</v>
      </c>
      <c r="G70" s="58">
        <v>440972</v>
      </c>
      <c r="H70" s="69">
        <v>44939</v>
      </c>
      <c r="I70" s="58">
        <v>0.26</v>
      </c>
      <c r="J70" s="58">
        <v>2429316.83</v>
      </c>
    </row>
    <row r="71" spans="1:10" ht="15">
      <c r="A71" s="58" t="s">
        <v>747</v>
      </c>
      <c r="B71" s="58" t="s">
        <v>790</v>
      </c>
      <c r="C71" s="58" t="s">
        <v>809</v>
      </c>
      <c r="D71" s="58" t="s">
        <v>791</v>
      </c>
      <c r="E71" s="58">
        <v>4464547</v>
      </c>
      <c r="F71" s="58">
        <v>71</v>
      </c>
      <c r="G71" s="58">
        <v>139218</v>
      </c>
      <c r="H71" s="69">
        <v>44597</v>
      </c>
      <c r="I71" s="58">
        <v>0.24</v>
      </c>
      <c r="J71" s="58">
        <v>400177.12</v>
      </c>
    </row>
    <row r="72" spans="1:10" ht="15">
      <c r="A72" s="58" t="s">
        <v>745</v>
      </c>
      <c r="B72" s="58" t="s">
        <v>797</v>
      </c>
      <c r="C72" s="58" t="s">
        <v>799</v>
      </c>
      <c r="D72" s="58" t="s">
        <v>810</v>
      </c>
      <c r="E72" s="58">
        <v>3759110</v>
      </c>
      <c r="F72" s="58">
        <v>29</v>
      </c>
      <c r="G72" s="58">
        <v>406006</v>
      </c>
      <c r="H72" s="69">
        <v>44624</v>
      </c>
      <c r="I72" s="58">
        <v>0.09</v>
      </c>
      <c r="J72" s="58">
        <v>1571627.4</v>
      </c>
    </row>
    <row r="73" spans="1:10" ht="15">
      <c r="A73" s="58" t="s">
        <v>748</v>
      </c>
      <c r="B73" s="58" t="s">
        <v>804</v>
      </c>
      <c r="C73" s="58" t="s">
        <v>807</v>
      </c>
      <c r="D73" s="58" t="s">
        <v>811</v>
      </c>
      <c r="E73" s="58">
        <v>3421190</v>
      </c>
      <c r="F73" s="58">
        <v>99</v>
      </c>
      <c r="G73" s="58">
        <v>337959</v>
      </c>
      <c r="H73" s="69">
        <v>45060</v>
      </c>
      <c r="I73" s="58">
        <v>0.4</v>
      </c>
      <c r="J73" s="58">
        <v>375753.3</v>
      </c>
    </row>
    <row r="74" spans="1:10" ht="15">
      <c r="A74" s="58" t="s">
        <v>741</v>
      </c>
      <c r="B74" s="58" t="s">
        <v>794</v>
      </c>
      <c r="C74" s="58" t="s">
        <v>793</v>
      </c>
      <c r="D74" s="58" t="s">
        <v>805</v>
      </c>
      <c r="E74" s="58">
        <v>778844</v>
      </c>
      <c r="F74" s="58">
        <v>20</v>
      </c>
      <c r="G74" s="58">
        <v>261258</v>
      </c>
      <c r="H74" s="69">
        <v>45082</v>
      </c>
      <c r="I74" s="58">
        <v>0.25</v>
      </c>
      <c r="J74" s="58">
        <v>58056.959999999999</v>
      </c>
    </row>
    <row r="75" spans="1:10" ht="15">
      <c r="A75" s="58" t="s">
        <v>740</v>
      </c>
      <c r="B75" s="58" t="s">
        <v>808</v>
      </c>
      <c r="C75" s="58" t="s">
        <v>795</v>
      </c>
      <c r="D75" s="58" t="s">
        <v>806</v>
      </c>
      <c r="E75" s="58">
        <v>4071886</v>
      </c>
      <c r="F75" s="58">
        <v>1</v>
      </c>
      <c r="G75" s="58">
        <v>335716</v>
      </c>
      <c r="H75" s="69">
        <v>45002</v>
      </c>
      <c r="I75" s="58">
        <v>0.49</v>
      </c>
      <c r="J75" s="58">
        <v>2616466.3199999998</v>
      </c>
    </row>
    <row r="76" spans="1:10" ht="15">
      <c r="A76" s="58" t="s">
        <v>749</v>
      </c>
      <c r="B76" s="58" t="s">
        <v>804</v>
      </c>
      <c r="C76" s="58" t="s">
        <v>799</v>
      </c>
      <c r="D76" s="58" t="s">
        <v>789</v>
      </c>
      <c r="E76" s="58">
        <v>3655037</v>
      </c>
      <c r="F76" s="58">
        <v>91</v>
      </c>
      <c r="G76" s="58">
        <v>392328</v>
      </c>
      <c r="H76" s="69">
        <v>44766</v>
      </c>
      <c r="I76" s="58">
        <v>0.03</v>
      </c>
      <c r="J76" s="58">
        <v>411964.5</v>
      </c>
    </row>
    <row r="77" spans="1:10" ht="15">
      <c r="A77" s="58" t="s">
        <v>749</v>
      </c>
      <c r="B77" s="58" t="s">
        <v>814</v>
      </c>
      <c r="C77" s="58" t="s">
        <v>788</v>
      </c>
      <c r="D77" s="58" t="s">
        <v>791</v>
      </c>
      <c r="E77" s="58">
        <v>1796125</v>
      </c>
      <c r="F77" s="58">
        <v>13</v>
      </c>
      <c r="G77" s="58">
        <v>120252</v>
      </c>
      <c r="H77" s="69">
        <v>44776</v>
      </c>
      <c r="I77" s="58">
        <v>0.12</v>
      </c>
      <c r="J77" s="58">
        <v>1619665.6</v>
      </c>
    </row>
    <row r="78" spans="1:10" ht="15">
      <c r="A78" s="58" t="s">
        <v>747</v>
      </c>
      <c r="B78" s="58" t="s">
        <v>808</v>
      </c>
      <c r="C78" s="58" t="s">
        <v>795</v>
      </c>
      <c r="D78" s="58" t="s">
        <v>810</v>
      </c>
      <c r="E78" s="58">
        <v>566517</v>
      </c>
      <c r="F78" s="58">
        <v>78</v>
      </c>
      <c r="G78" s="58">
        <v>246116</v>
      </c>
      <c r="H78" s="69">
        <v>44780</v>
      </c>
      <c r="I78" s="58">
        <v>0.36</v>
      </c>
      <c r="J78" s="58">
        <v>3817469.88</v>
      </c>
    </row>
    <row r="79" spans="1:10" ht="15">
      <c r="A79" s="58" t="s">
        <v>748</v>
      </c>
      <c r="B79" s="58" t="s">
        <v>808</v>
      </c>
      <c r="C79" s="58" t="s">
        <v>788</v>
      </c>
      <c r="D79" s="58" t="s">
        <v>806</v>
      </c>
      <c r="E79" s="58">
        <v>690186</v>
      </c>
      <c r="F79" s="58">
        <v>38</v>
      </c>
      <c r="G79" s="58">
        <v>63419</v>
      </c>
      <c r="H79" s="69">
        <v>45315</v>
      </c>
      <c r="I79" s="58">
        <v>0.43</v>
      </c>
      <c r="J79" s="58">
        <v>3625446.3</v>
      </c>
    </row>
    <row r="80" spans="1:10" ht="15">
      <c r="A80" s="58" t="s">
        <v>746</v>
      </c>
      <c r="B80" s="58" t="s">
        <v>802</v>
      </c>
      <c r="C80" s="58" t="s">
        <v>809</v>
      </c>
      <c r="D80" s="58" t="s">
        <v>789</v>
      </c>
      <c r="E80" s="58">
        <v>972323</v>
      </c>
      <c r="F80" s="58">
        <v>68</v>
      </c>
      <c r="G80" s="58">
        <v>317047</v>
      </c>
      <c r="H80" s="69">
        <v>45052</v>
      </c>
      <c r="I80" s="58">
        <v>0.13</v>
      </c>
      <c r="J80" s="58">
        <v>2990870.62</v>
      </c>
    </row>
    <row r="81" spans="1:10" ht="15">
      <c r="A81" s="58" t="s">
        <v>741</v>
      </c>
      <c r="B81" s="58" t="s">
        <v>794</v>
      </c>
      <c r="C81" s="58" t="s">
        <v>799</v>
      </c>
      <c r="D81" s="58" t="s">
        <v>810</v>
      </c>
      <c r="E81" s="58">
        <v>1781254</v>
      </c>
      <c r="F81" s="58">
        <v>34</v>
      </c>
      <c r="G81" s="58">
        <v>322583</v>
      </c>
      <c r="H81" s="69">
        <v>44972</v>
      </c>
      <c r="I81" s="58">
        <v>0.08</v>
      </c>
      <c r="J81" s="58">
        <v>2774457.42</v>
      </c>
    </row>
    <row r="82" spans="1:10" ht="15">
      <c r="A82" s="58" t="s">
        <v>745</v>
      </c>
      <c r="B82" s="58" t="s">
        <v>794</v>
      </c>
      <c r="C82" s="58" t="s">
        <v>798</v>
      </c>
      <c r="D82" s="58" t="s">
        <v>811</v>
      </c>
      <c r="E82" s="58">
        <v>3336894</v>
      </c>
      <c r="F82" s="58">
        <v>89</v>
      </c>
      <c r="G82" s="58">
        <v>440289</v>
      </c>
      <c r="H82" s="69">
        <v>45523</v>
      </c>
      <c r="I82" s="58">
        <v>0.03</v>
      </c>
      <c r="J82" s="58">
        <v>1873492.8</v>
      </c>
    </row>
    <row r="83" spans="1:10" ht="15">
      <c r="A83" s="58" t="s">
        <v>747</v>
      </c>
      <c r="B83" s="58" t="s">
        <v>794</v>
      </c>
      <c r="C83" s="58" t="s">
        <v>799</v>
      </c>
      <c r="D83" s="58" t="s">
        <v>800</v>
      </c>
      <c r="E83" s="58">
        <v>4228397</v>
      </c>
      <c r="F83" s="58">
        <v>53</v>
      </c>
      <c r="G83" s="58">
        <v>450365</v>
      </c>
      <c r="H83" s="69">
        <v>45573</v>
      </c>
      <c r="I83" s="58">
        <v>0.3</v>
      </c>
      <c r="J83" s="58">
        <v>1220364.72</v>
      </c>
    </row>
    <row r="84" spans="1:10" ht="15">
      <c r="A84" s="58" t="s">
        <v>741</v>
      </c>
      <c r="B84" s="58" t="s">
        <v>802</v>
      </c>
      <c r="C84" s="58" t="s">
        <v>788</v>
      </c>
      <c r="D84" s="58" t="s">
        <v>791</v>
      </c>
      <c r="E84" s="58">
        <v>877360</v>
      </c>
      <c r="F84" s="58">
        <v>75</v>
      </c>
      <c r="G84" s="58">
        <v>135865</v>
      </c>
      <c r="H84" s="69">
        <v>45454</v>
      </c>
      <c r="I84" s="58">
        <v>0.44</v>
      </c>
      <c r="J84" s="58">
        <v>1985937.6</v>
      </c>
    </row>
    <row r="85" spans="1:10" ht="15">
      <c r="A85" s="58" t="s">
        <v>742</v>
      </c>
      <c r="B85" s="58" t="s">
        <v>802</v>
      </c>
      <c r="C85" s="58" t="s">
        <v>807</v>
      </c>
      <c r="D85" s="58" t="s">
        <v>801</v>
      </c>
      <c r="E85" s="58">
        <v>1539286</v>
      </c>
      <c r="F85" s="58">
        <v>41</v>
      </c>
      <c r="G85" s="58">
        <v>338461</v>
      </c>
      <c r="H85" s="69">
        <v>45486</v>
      </c>
      <c r="I85" s="58">
        <v>0.16</v>
      </c>
      <c r="J85" s="58">
        <v>2989123.28</v>
      </c>
    </row>
    <row r="86" spans="1:10" ht="15">
      <c r="A86" s="58" t="s">
        <v>744</v>
      </c>
      <c r="B86" s="58" t="s">
        <v>797</v>
      </c>
      <c r="C86" s="58" t="s">
        <v>807</v>
      </c>
      <c r="D86" s="58" t="s">
        <v>791</v>
      </c>
      <c r="E86" s="58">
        <v>1159008</v>
      </c>
      <c r="F86" s="58">
        <v>13</v>
      </c>
      <c r="G86" s="58">
        <v>251422</v>
      </c>
      <c r="H86" s="69">
        <v>44909</v>
      </c>
      <c r="I86" s="58">
        <v>0.13</v>
      </c>
      <c r="J86" s="58">
        <v>3997411.97</v>
      </c>
    </row>
    <row r="87" spans="1:10" ht="15">
      <c r="A87" s="58" t="s">
        <v>747</v>
      </c>
      <c r="B87" s="58" t="s">
        <v>802</v>
      </c>
      <c r="C87" s="58" t="s">
        <v>799</v>
      </c>
      <c r="D87" s="58" t="s">
        <v>801</v>
      </c>
      <c r="E87" s="58">
        <v>3109010</v>
      </c>
      <c r="F87" s="58">
        <v>67</v>
      </c>
      <c r="G87" s="58">
        <v>473748</v>
      </c>
      <c r="H87" s="69">
        <v>44652</v>
      </c>
      <c r="I87" s="58">
        <v>0.43</v>
      </c>
      <c r="J87" s="58">
        <v>170476.79999999999</v>
      </c>
    </row>
    <row r="88" spans="1:10" ht="15">
      <c r="A88" s="58" t="s">
        <v>747</v>
      </c>
      <c r="B88" s="58" t="s">
        <v>797</v>
      </c>
      <c r="C88" s="58" t="s">
        <v>793</v>
      </c>
      <c r="D88" s="58" t="s">
        <v>811</v>
      </c>
      <c r="E88" s="58">
        <v>1654268</v>
      </c>
      <c r="F88" s="58">
        <v>15</v>
      </c>
      <c r="G88" s="58">
        <v>167622</v>
      </c>
      <c r="H88" s="69">
        <v>44774</v>
      </c>
      <c r="I88" s="58">
        <v>0.47</v>
      </c>
      <c r="J88" s="58">
        <v>4069851.12</v>
      </c>
    </row>
    <row r="89" spans="1:10" ht="15">
      <c r="A89" s="58" t="s">
        <v>741</v>
      </c>
      <c r="B89" s="58" t="s">
        <v>809</v>
      </c>
      <c r="C89" s="58" t="s">
        <v>788</v>
      </c>
      <c r="D89" s="58" t="s">
        <v>805</v>
      </c>
      <c r="E89" s="58">
        <v>1581278</v>
      </c>
      <c r="F89" s="58">
        <v>19</v>
      </c>
      <c r="G89" s="58">
        <v>170642</v>
      </c>
      <c r="H89" s="69">
        <v>45458</v>
      </c>
      <c r="I89" s="58">
        <v>0.28000000000000003</v>
      </c>
      <c r="J89" s="58">
        <v>3125850.26</v>
      </c>
    </row>
    <row r="90" spans="1:10" ht="15">
      <c r="A90" s="58" t="s">
        <v>749</v>
      </c>
      <c r="B90" s="58" t="s">
        <v>804</v>
      </c>
      <c r="C90" s="58" t="s">
        <v>798</v>
      </c>
      <c r="D90" s="58" t="s">
        <v>796</v>
      </c>
      <c r="E90" s="58">
        <v>1467294</v>
      </c>
      <c r="F90" s="58">
        <v>38</v>
      </c>
      <c r="G90" s="58">
        <v>406333</v>
      </c>
      <c r="H90" s="69">
        <v>45263</v>
      </c>
      <c r="I90" s="58">
        <v>0.49</v>
      </c>
      <c r="J90" s="58">
        <v>1235527.02</v>
      </c>
    </row>
    <row r="91" spans="1:10" ht="15">
      <c r="A91" s="58" t="s">
        <v>742</v>
      </c>
      <c r="B91" s="58" t="s">
        <v>804</v>
      </c>
      <c r="C91" s="58" t="s">
        <v>788</v>
      </c>
      <c r="D91" s="58" t="s">
        <v>796</v>
      </c>
      <c r="E91" s="58">
        <v>1325168</v>
      </c>
      <c r="F91" s="58">
        <v>57</v>
      </c>
      <c r="G91" s="58">
        <v>106344</v>
      </c>
      <c r="H91" s="69">
        <v>45171</v>
      </c>
      <c r="I91" s="58">
        <v>0.18</v>
      </c>
      <c r="J91" s="58">
        <v>386076.8</v>
      </c>
    </row>
    <row r="92" spans="1:10" ht="15">
      <c r="A92" s="58" t="s">
        <v>741</v>
      </c>
      <c r="B92" s="58" t="s">
        <v>809</v>
      </c>
      <c r="C92" s="58" t="s">
        <v>807</v>
      </c>
      <c r="D92" s="58" t="s">
        <v>812</v>
      </c>
      <c r="E92" s="58">
        <v>1182592</v>
      </c>
      <c r="F92" s="58">
        <v>7</v>
      </c>
      <c r="G92" s="58">
        <v>338608</v>
      </c>
      <c r="H92" s="69">
        <v>45133</v>
      </c>
      <c r="I92" s="58">
        <v>0.48</v>
      </c>
      <c r="J92" s="58">
        <v>1538256.35</v>
      </c>
    </row>
    <row r="93" spans="1:10" ht="15">
      <c r="A93" s="58" t="s">
        <v>745</v>
      </c>
      <c r="B93" s="58" t="s">
        <v>804</v>
      </c>
      <c r="C93" s="58" t="s">
        <v>795</v>
      </c>
      <c r="D93" s="58" t="s">
        <v>806</v>
      </c>
      <c r="E93" s="58">
        <v>2968505</v>
      </c>
      <c r="F93" s="58">
        <v>75</v>
      </c>
      <c r="G93" s="58">
        <v>215862</v>
      </c>
      <c r="H93" s="69">
        <v>44644</v>
      </c>
      <c r="I93" s="58">
        <v>0.21</v>
      </c>
      <c r="J93" s="58">
        <v>3546849.67</v>
      </c>
    </row>
    <row r="94" spans="1:10" ht="15">
      <c r="A94" s="58" t="s">
        <v>746</v>
      </c>
      <c r="B94" s="58" t="s">
        <v>790</v>
      </c>
      <c r="C94" s="58" t="s">
        <v>807</v>
      </c>
      <c r="D94" s="58" t="s">
        <v>811</v>
      </c>
      <c r="E94" s="58">
        <v>3615204</v>
      </c>
      <c r="F94" s="58">
        <v>14</v>
      </c>
      <c r="G94" s="58">
        <v>205768</v>
      </c>
      <c r="H94" s="69">
        <v>44927</v>
      </c>
      <c r="I94" s="58">
        <v>0.28000000000000003</v>
      </c>
      <c r="J94" s="58">
        <v>2768400.37</v>
      </c>
    </row>
    <row r="95" spans="1:10" ht="15">
      <c r="A95" s="58" t="s">
        <v>741</v>
      </c>
      <c r="B95" s="58" t="s">
        <v>797</v>
      </c>
      <c r="C95" s="58" t="s">
        <v>788</v>
      </c>
      <c r="D95" s="58" t="s">
        <v>803</v>
      </c>
      <c r="E95" s="58">
        <v>958396</v>
      </c>
      <c r="F95" s="58">
        <v>24</v>
      </c>
      <c r="G95" s="58">
        <v>397863</v>
      </c>
      <c r="H95" s="69">
        <v>44799</v>
      </c>
      <c r="I95" s="58">
        <v>0.24</v>
      </c>
      <c r="J95" s="58">
        <v>2119900.9</v>
      </c>
    </row>
    <row r="96" spans="1:10" ht="15">
      <c r="A96" s="58" t="s">
        <v>745</v>
      </c>
      <c r="B96" s="58" t="s">
        <v>787</v>
      </c>
      <c r="C96" s="58" t="s">
        <v>799</v>
      </c>
      <c r="D96" s="58" t="s">
        <v>791</v>
      </c>
      <c r="E96" s="58">
        <v>4519052</v>
      </c>
      <c r="F96" s="58">
        <v>68</v>
      </c>
      <c r="G96" s="58">
        <v>217177</v>
      </c>
      <c r="H96" s="69">
        <v>45278</v>
      </c>
      <c r="I96" s="58">
        <v>0.01</v>
      </c>
      <c r="J96" s="58">
        <v>3030934.76</v>
      </c>
    </row>
    <row r="97" spans="1:10" ht="15">
      <c r="A97" s="58" t="s">
        <v>746</v>
      </c>
      <c r="B97" s="58" t="s">
        <v>794</v>
      </c>
      <c r="C97" s="58" t="s">
        <v>798</v>
      </c>
      <c r="D97" s="58" t="s">
        <v>811</v>
      </c>
      <c r="E97" s="58">
        <v>3566024</v>
      </c>
      <c r="F97" s="58">
        <v>81</v>
      </c>
      <c r="G97" s="58">
        <v>165728</v>
      </c>
      <c r="H97" s="69">
        <v>45279</v>
      </c>
      <c r="I97" s="58">
        <v>0.32</v>
      </c>
      <c r="J97" s="58">
        <v>3270681.6</v>
      </c>
    </row>
    <row r="98" spans="1:10" ht="15">
      <c r="A98" s="58" t="s">
        <v>745</v>
      </c>
      <c r="B98" s="58" t="s">
        <v>790</v>
      </c>
      <c r="C98" s="58" t="s">
        <v>807</v>
      </c>
      <c r="D98" s="58" t="s">
        <v>801</v>
      </c>
      <c r="E98" s="58">
        <v>4322273</v>
      </c>
      <c r="F98" s="58">
        <v>4</v>
      </c>
      <c r="G98" s="58">
        <v>60152</v>
      </c>
      <c r="H98" s="69">
        <v>45650</v>
      </c>
      <c r="I98" s="58">
        <v>0.18</v>
      </c>
      <c r="J98" s="58">
        <v>634198.41</v>
      </c>
    </row>
    <row r="99" spans="1:10" ht="15">
      <c r="A99" s="58" t="s">
        <v>747</v>
      </c>
      <c r="B99" s="58" t="s">
        <v>792</v>
      </c>
      <c r="C99" s="58" t="s">
        <v>788</v>
      </c>
      <c r="D99" s="58" t="s">
        <v>806</v>
      </c>
      <c r="E99" s="58">
        <v>493679</v>
      </c>
      <c r="F99" s="58">
        <v>30</v>
      </c>
      <c r="G99" s="58">
        <v>187267</v>
      </c>
      <c r="H99" s="69">
        <v>44837</v>
      </c>
      <c r="I99" s="58">
        <v>0</v>
      </c>
      <c r="J99" s="58">
        <v>105230.84</v>
      </c>
    </row>
    <row r="100" spans="1:10" ht="15">
      <c r="A100" s="58" t="s">
        <v>745</v>
      </c>
      <c r="B100" s="58" t="s">
        <v>797</v>
      </c>
      <c r="C100" s="58" t="s">
        <v>795</v>
      </c>
      <c r="D100" s="58" t="s">
        <v>815</v>
      </c>
      <c r="E100" s="58">
        <v>1221531</v>
      </c>
      <c r="F100" s="58">
        <v>50</v>
      </c>
      <c r="G100" s="58">
        <v>487114</v>
      </c>
      <c r="H100" s="69">
        <v>45466</v>
      </c>
      <c r="I100" s="58">
        <v>0.24</v>
      </c>
      <c r="J100" s="58">
        <v>2698858.8</v>
      </c>
    </row>
    <row r="101" spans="1:10" ht="15">
      <c r="A101" s="58" t="s">
        <v>743</v>
      </c>
      <c r="B101" s="58" t="s">
        <v>808</v>
      </c>
      <c r="C101" s="58" t="s">
        <v>809</v>
      </c>
      <c r="D101" s="58" t="s">
        <v>789</v>
      </c>
      <c r="E101" s="58">
        <v>3138281</v>
      </c>
      <c r="F101" s="58">
        <v>93</v>
      </c>
      <c r="G101" s="58">
        <v>28850</v>
      </c>
      <c r="H101" s="69">
        <v>45602</v>
      </c>
      <c r="I101" s="58">
        <v>0.19</v>
      </c>
      <c r="J101" s="58">
        <v>2972871</v>
      </c>
    </row>
    <row r="102" spans="1:10" ht="15">
      <c r="A102" s="58" t="s">
        <v>744</v>
      </c>
      <c r="B102" s="58" t="s">
        <v>802</v>
      </c>
      <c r="C102" s="58" t="s">
        <v>788</v>
      </c>
      <c r="D102" s="58" t="s">
        <v>812</v>
      </c>
      <c r="E102" s="58">
        <v>74333</v>
      </c>
      <c r="F102" s="58">
        <v>30</v>
      </c>
      <c r="G102" s="58">
        <v>486721</v>
      </c>
      <c r="H102" s="69">
        <v>44841</v>
      </c>
      <c r="I102" s="58">
        <v>0.28000000000000003</v>
      </c>
      <c r="J102" s="58">
        <v>35213.97</v>
      </c>
    </row>
    <row r="103" spans="1:10" ht="15">
      <c r="A103" s="58" t="s">
        <v>746</v>
      </c>
      <c r="B103" s="58" t="s">
        <v>794</v>
      </c>
      <c r="C103" s="58" t="s">
        <v>793</v>
      </c>
      <c r="D103" s="58" t="s">
        <v>796</v>
      </c>
      <c r="E103" s="58">
        <v>3978451</v>
      </c>
      <c r="F103" s="58">
        <v>79</v>
      </c>
      <c r="G103" s="58">
        <v>159346</v>
      </c>
      <c r="H103" s="69">
        <v>44672</v>
      </c>
      <c r="I103" s="58">
        <v>0.3</v>
      </c>
      <c r="J103" s="58">
        <v>682870.64</v>
      </c>
    </row>
    <row r="104" spans="1:10" ht="15">
      <c r="A104" s="58" t="s">
        <v>749</v>
      </c>
      <c r="B104" s="58" t="s">
        <v>790</v>
      </c>
      <c r="C104" s="58" t="s">
        <v>793</v>
      </c>
      <c r="D104" s="58" t="s">
        <v>806</v>
      </c>
      <c r="E104" s="58">
        <v>4644729</v>
      </c>
      <c r="F104" s="58">
        <v>47</v>
      </c>
      <c r="G104" s="58">
        <v>457492</v>
      </c>
      <c r="H104" s="69">
        <v>45140</v>
      </c>
      <c r="I104" s="58">
        <v>0.43</v>
      </c>
      <c r="J104" s="58">
        <v>4081953.28</v>
      </c>
    </row>
    <row r="105" spans="1:10" ht="15">
      <c r="A105" s="55" t="s">
        <v>743</v>
      </c>
      <c r="B105" s="56" t="s">
        <v>792</v>
      </c>
      <c r="C105" s="56" t="s">
        <v>788</v>
      </c>
      <c r="D105" s="56" t="s">
        <v>815</v>
      </c>
      <c r="E105" s="56">
        <v>3812210</v>
      </c>
      <c r="F105" s="56">
        <v>45</v>
      </c>
      <c r="G105" s="56">
        <v>209617</v>
      </c>
      <c r="H105" s="68">
        <v>45438</v>
      </c>
      <c r="I105" s="56">
        <v>0.42</v>
      </c>
      <c r="J105" s="56">
        <v>1276492.1399999999</v>
      </c>
    </row>
    <row r="106" spans="1:10" ht="15">
      <c r="A106" s="58" t="s">
        <v>742</v>
      </c>
      <c r="B106" s="58" t="s">
        <v>814</v>
      </c>
      <c r="C106" s="58" t="s">
        <v>807</v>
      </c>
      <c r="D106" s="58" t="s">
        <v>796</v>
      </c>
      <c r="E106" s="58">
        <v>2750381</v>
      </c>
      <c r="F106" s="58">
        <v>22</v>
      </c>
      <c r="G106" s="58">
        <v>266144</v>
      </c>
      <c r="H106" s="69">
        <v>45132</v>
      </c>
      <c r="I106" s="58">
        <v>0</v>
      </c>
      <c r="J106" s="58">
        <v>977644.5</v>
      </c>
    </row>
    <row r="107" spans="1:10" ht="15">
      <c r="A107" s="58" t="s">
        <v>745</v>
      </c>
      <c r="B107" s="58" t="s">
        <v>787</v>
      </c>
      <c r="C107" s="58" t="s">
        <v>798</v>
      </c>
      <c r="D107" s="58" t="s">
        <v>791</v>
      </c>
      <c r="E107" s="58">
        <v>2105352</v>
      </c>
      <c r="F107" s="58">
        <v>56</v>
      </c>
      <c r="G107" s="58">
        <v>310682</v>
      </c>
      <c r="H107" s="69">
        <v>45190</v>
      </c>
      <c r="I107" s="58">
        <v>0.35</v>
      </c>
      <c r="J107" s="58">
        <v>3642903.2</v>
      </c>
    </row>
    <row r="108" spans="1:10" ht="15">
      <c r="A108" s="58" t="s">
        <v>740</v>
      </c>
      <c r="B108" s="58" t="s">
        <v>809</v>
      </c>
      <c r="C108" s="58" t="s">
        <v>788</v>
      </c>
      <c r="D108" s="58" t="s">
        <v>789</v>
      </c>
      <c r="E108" s="58">
        <v>4873816</v>
      </c>
      <c r="F108" s="58">
        <v>38</v>
      </c>
      <c r="G108" s="58">
        <v>262529</v>
      </c>
      <c r="H108" s="69">
        <v>44981</v>
      </c>
      <c r="I108" s="58">
        <v>0.02</v>
      </c>
      <c r="J108" s="58">
        <v>592894.07999999996</v>
      </c>
    </row>
    <row r="109" spans="1:10" ht="15">
      <c r="A109" s="58" t="s">
        <v>745</v>
      </c>
      <c r="B109" s="58" t="s">
        <v>792</v>
      </c>
      <c r="C109" s="58" t="s">
        <v>788</v>
      </c>
      <c r="D109" s="58" t="s">
        <v>789</v>
      </c>
      <c r="E109" s="58">
        <v>1215514</v>
      </c>
      <c r="F109" s="58">
        <v>20</v>
      </c>
      <c r="G109" s="58">
        <v>252071</v>
      </c>
      <c r="H109" s="69">
        <v>45481</v>
      </c>
      <c r="I109" s="58">
        <v>0.2</v>
      </c>
      <c r="J109" s="58">
        <v>374536.6</v>
      </c>
    </row>
    <row r="110" spans="1:10" ht="15">
      <c r="A110" s="58" t="s">
        <v>749</v>
      </c>
      <c r="B110" s="58" t="s">
        <v>809</v>
      </c>
      <c r="C110" s="58" t="s">
        <v>795</v>
      </c>
      <c r="D110" s="58" t="s">
        <v>810</v>
      </c>
      <c r="E110" s="58">
        <v>1795974</v>
      </c>
      <c r="F110" s="58">
        <v>64</v>
      </c>
      <c r="G110" s="58">
        <v>228714</v>
      </c>
      <c r="H110" s="69">
        <v>45056</v>
      </c>
      <c r="I110" s="58">
        <v>0.33</v>
      </c>
      <c r="J110" s="58">
        <v>2678467.96</v>
      </c>
    </row>
    <row r="111" spans="1:10" ht="15">
      <c r="A111" s="58" t="s">
        <v>744</v>
      </c>
      <c r="B111" s="58" t="s">
        <v>797</v>
      </c>
      <c r="C111" s="58" t="s">
        <v>807</v>
      </c>
      <c r="D111" s="58" t="s">
        <v>801</v>
      </c>
      <c r="E111" s="58">
        <v>77392</v>
      </c>
      <c r="F111" s="58">
        <v>26</v>
      </c>
      <c r="G111" s="58">
        <v>88814</v>
      </c>
      <c r="H111" s="69">
        <v>45354</v>
      </c>
      <c r="I111" s="58">
        <v>0.08</v>
      </c>
      <c r="J111" s="58">
        <v>2421988.08</v>
      </c>
    </row>
    <row r="112" spans="1:10" ht="15">
      <c r="A112" s="58" t="s">
        <v>747</v>
      </c>
      <c r="B112" s="58" t="s">
        <v>794</v>
      </c>
      <c r="C112" s="58" t="s">
        <v>807</v>
      </c>
      <c r="D112" s="58" t="s">
        <v>789</v>
      </c>
      <c r="E112" s="58">
        <v>3434355</v>
      </c>
      <c r="F112" s="58">
        <v>80</v>
      </c>
      <c r="G112" s="58">
        <v>400013</v>
      </c>
      <c r="H112" s="69">
        <v>45286</v>
      </c>
      <c r="I112" s="58">
        <v>0.12</v>
      </c>
      <c r="J112" s="58">
        <v>3267829.64</v>
      </c>
    </row>
    <row r="113" spans="1:10" ht="15">
      <c r="A113" s="58" t="s">
        <v>747</v>
      </c>
      <c r="B113" s="58" t="s">
        <v>787</v>
      </c>
      <c r="C113" s="58" t="s">
        <v>798</v>
      </c>
      <c r="D113" s="58" t="s">
        <v>812</v>
      </c>
      <c r="E113" s="58">
        <v>745371</v>
      </c>
      <c r="F113" s="58">
        <v>19</v>
      </c>
      <c r="G113" s="58">
        <v>288349</v>
      </c>
      <c r="H113" s="69">
        <v>44571</v>
      </c>
      <c r="I113" s="58">
        <v>0.15</v>
      </c>
      <c r="J113" s="58">
        <v>2681568.89</v>
      </c>
    </row>
    <row r="114" spans="1:10" ht="15">
      <c r="A114" s="58" t="s">
        <v>745</v>
      </c>
      <c r="B114" s="58" t="s">
        <v>809</v>
      </c>
      <c r="C114" s="58" t="s">
        <v>788</v>
      </c>
      <c r="D114" s="58" t="s">
        <v>791</v>
      </c>
      <c r="E114" s="58">
        <v>4712492</v>
      </c>
      <c r="F114" s="58">
        <v>98</v>
      </c>
      <c r="G114" s="58">
        <v>127139</v>
      </c>
      <c r="H114" s="69">
        <v>45131</v>
      </c>
      <c r="I114" s="58">
        <v>0.02</v>
      </c>
      <c r="J114" s="58">
        <v>2247974.5499999998</v>
      </c>
    </row>
    <row r="115" spans="1:10" ht="15">
      <c r="A115" s="58" t="s">
        <v>746</v>
      </c>
      <c r="B115" s="58" t="s">
        <v>794</v>
      </c>
      <c r="C115" s="58" t="s">
        <v>793</v>
      </c>
      <c r="D115" s="58" t="s">
        <v>813</v>
      </c>
      <c r="E115" s="58">
        <v>2664981</v>
      </c>
      <c r="F115" s="58">
        <v>71</v>
      </c>
      <c r="G115" s="58">
        <v>149739</v>
      </c>
      <c r="H115" s="69">
        <v>44911</v>
      </c>
      <c r="I115" s="58">
        <v>0.49</v>
      </c>
      <c r="J115" s="58">
        <v>1631892.64</v>
      </c>
    </row>
    <row r="116" spans="1:10" ht="15">
      <c r="A116" s="58" t="s">
        <v>745</v>
      </c>
      <c r="B116" s="58" t="s">
        <v>809</v>
      </c>
      <c r="C116" s="58" t="s">
        <v>788</v>
      </c>
      <c r="D116" s="58" t="s">
        <v>801</v>
      </c>
      <c r="E116" s="58">
        <v>3122003</v>
      </c>
      <c r="F116" s="58">
        <v>17</v>
      </c>
      <c r="G116" s="58">
        <v>400034</v>
      </c>
      <c r="H116" s="69">
        <v>45286</v>
      </c>
      <c r="I116" s="58">
        <v>0.12</v>
      </c>
      <c r="J116" s="58">
        <v>2045858.4</v>
      </c>
    </row>
    <row r="117" spans="1:10" ht="15">
      <c r="A117" s="58" t="s">
        <v>740</v>
      </c>
      <c r="B117" s="58" t="s">
        <v>790</v>
      </c>
      <c r="C117" s="58" t="s">
        <v>795</v>
      </c>
      <c r="D117" s="58" t="s">
        <v>791</v>
      </c>
      <c r="E117" s="58">
        <v>260262</v>
      </c>
      <c r="F117" s="58">
        <v>51</v>
      </c>
      <c r="G117" s="58">
        <v>144946</v>
      </c>
      <c r="H117" s="69">
        <v>44798</v>
      </c>
      <c r="I117" s="58">
        <v>0.21</v>
      </c>
      <c r="J117" s="58">
        <v>1721915.01</v>
      </c>
    </row>
    <row r="118" spans="1:10" ht="15">
      <c r="A118" s="58" t="s">
        <v>745</v>
      </c>
      <c r="B118" s="58" t="s">
        <v>808</v>
      </c>
      <c r="C118" s="58" t="s">
        <v>799</v>
      </c>
      <c r="D118" s="58" t="s">
        <v>813</v>
      </c>
      <c r="E118" s="58">
        <v>2121979</v>
      </c>
      <c r="F118" s="58">
        <v>96</v>
      </c>
      <c r="G118" s="58">
        <v>328454</v>
      </c>
      <c r="H118" s="69">
        <v>45027</v>
      </c>
      <c r="I118" s="58">
        <v>0.18</v>
      </c>
      <c r="J118" s="58">
        <v>3286112.25</v>
      </c>
    </row>
    <row r="119" spans="1:10" ht="15">
      <c r="A119" s="58" t="s">
        <v>742</v>
      </c>
      <c r="B119" s="58" t="s">
        <v>808</v>
      </c>
      <c r="C119" s="58" t="s">
        <v>799</v>
      </c>
      <c r="D119" s="58" t="s">
        <v>805</v>
      </c>
      <c r="E119" s="58">
        <v>3526631</v>
      </c>
      <c r="F119" s="58">
        <v>12</v>
      </c>
      <c r="G119" s="58">
        <v>149621</v>
      </c>
      <c r="H119" s="69">
        <v>45004</v>
      </c>
      <c r="I119" s="58">
        <v>0.46</v>
      </c>
      <c r="J119" s="58">
        <v>836355.52</v>
      </c>
    </row>
    <row r="120" spans="1:10" ht="15">
      <c r="A120" s="58" t="s">
        <v>748</v>
      </c>
      <c r="B120" s="58" t="s">
        <v>790</v>
      </c>
      <c r="C120" s="58" t="s">
        <v>788</v>
      </c>
      <c r="D120" s="58" t="s">
        <v>803</v>
      </c>
      <c r="E120" s="58">
        <v>502106</v>
      </c>
      <c r="F120" s="58">
        <v>67</v>
      </c>
      <c r="G120" s="58">
        <v>478238</v>
      </c>
      <c r="H120" s="69">
        <v>45394</v>
      </c>
      <c r="I120" s="58">
        <v>0.1</v>
      </c>
      <c r="J120" s="58">
        <v>3390879.44</v>
      </c>
    </row>
    <row r="121" spans="1:10" ht="15">
      <c r="A121" s="58" t="s">
        <v>748</v>
      </c>
      <c r="B121" s="58" t="s">
        <v>804</v>
      </c>
      <c r="C121" s="58" t="s">
        <v>793</v>
      </c>
      <c r="D121" s="58" t="s">
        <v>810</v>
      </c>
      <c r="E121" s="58">
        <v>696108</v>
      </c>
      <c r="F121" s="58">
        <v>32</v>
      </c>
      <c r="G121" s="58">
        <v>245981</v>
      </c>
      <c r="H121" s="69">
        <v>44892</v>
      </c>
      <c r="I121" s="58">
        <v>0.45</v>
      </c>
      <c r="J121" s="58">
        <v>523431.48</v>
      </c>
    </row>
    <row r="122" spans="1:10" ht="15">
      <c r="A122" s="58" t="s">
        <v>744</v>
      </c>
      <c r="B122" s="58" t="s">
        <v>787</v>
      </c>
      <c r="C122" s="58" t="s">
        <v>809</v>
      </c>
      <c r="D122" s="58" t="s">
        <v>810</v>
      </c>
      <c r="E122" s="58">
        <v>3345080</v>
      </c>
      <c r="F122" s="58">
        <v>14</v>
      </c>
      <c r="G122" s="58">
        <v>418941</v>
      </c>
      <c r="H122" s="69">
        <v>44658</v>
      </c>
      <c r="I122" s="58">
        <v>0.09</v>
      </c>
      <c r="J122" s="58">
        <v>1128779.19</v>
      </c>
    </row>
    <row r="123" spans="1:10" ht="15">
      <c r="A123" s="58" t="s">
        <v>740</v>
      </c>
      <c r="B123" s="58" t="s">
        <v>802</v>
      </c>
      <c r="C123" s="58" t="s">
        <v>798</v>
      </c>
      <c r="D123" s="58" t="s">
        <v>791</v>
      </c>
      <c r="E123" s="58">
        <v>529073</v>
      </c>
      <c r="F123" s="58">
        <v>19</v>
      </c>
      <c r="G123" s="58">
        <v>109976</v>
      </c>
      <c r="H123" s="69">
        <v>44828</v>
      </c>
      <c r="I123" s="58">
        <v>0.22</v>
      </c>
      <c r="J123" s="58">
        <v>2030730.72</v>
      </c>
    </row>
    <row r="124" spans="1:10" ht="15">
      <c r="A124" s="58" t="s">
        <v>745</v>
      </c>
      <c r="B124" s="58" t="s">
        <v>809</v>
      </c>
      <c r="C124" s="58" t="s">
        <v>799</v>
      </c>
      <c r="D124" s="58" t="s">
        <v>805</v>
      </c>
      <c r="E124" s="58">
        <v>1550270</v>
      </c>
      <c r="F124" s="58">
        <v>41</v>
      </c>
      <c r="G124" s="58">
        <v>267599</v>
      </c>
      <c r="H124" s="69">
        <v>45095</v>
      </c>
      <c r="I124" s="58">
        <v>0.24</v>
      </c>
      <c r="J124" s="58">
        <v>651459.71</v>
      </c>
    </row>
    <row r="125" spans="1:10" ht="15">
      <c r="A125" s="58" t="s">
        <v>742</v>
      </c>
      <c r="B125" s="58" t="s">
        <v>794</v>
      </c>
      <c r="C125" s="58" t="s">
        <v>799</v>
      </c>
      <c r="D125" s="58" t="s">
        <v>800</v>
      </c>
      <c r="E125" s="58">
        <v>781096</v>
      </c>
      <c r="F125" s="58">
        <v>19</v>
      </c>
      <c r="G125" s="58">
        <v>454613</v>
      </c>
      <c r="H125" s="69">
        <v>44888</v>
      </c>
      <c r="I125" s="58">
        <v>0.08</v>
      </c>
      <c r="J125" s="58">
        <v>1683155.9</v>
      </c>
    </row>
    <row r="126" spans="1:10" ht="15">
      <c r="A126" s="58" t="s">
        <v>748</v>
      </c>
      <c r="B126" s="58" t="s">
        <v>809</v>
      </c>
      <c r="C126" s="58" t="s">
        <v>788</v>
      </c>
      <c r="D126" s="58" t="s">
        <v>796</v>
      </c>
      <c r="E126" s="58">
        <v>3132759</v>
      </c>
      <c r="F126" s="58">
        <v>61</v>
      </c>
      <c r="G126" s="58">
        <v>300429</v>
      </c>
      <c r="H126" s="69">
        <v>45011</v>
      </c>
      <c r="I126" s="58">
        <v>0.11</v>
      </c>
      <c r="J126" s="58">
        <v>299746.89</v>
      </c>
    </row>
    <row r="127" spans="1:10" ht="15">
      <c r="A127" s="58" t="s">
        <v>747</v>
      </c>
      <c r="B127" s="58" t="s">
        <v>790</v>
      </c>
      <c r="C127" s="58" t="s">
        <v>799</v>
      </c>
      <c r="D127" s="58" t="s">
        <v>801</v>
      </c>
      <c r="E127" s="58">
        <v>90159</v>
      </c>
      <c r="F127" s="58">
        <v>88</v>
      </c>
      <c r="G127" s="58">
        <v>19683</v>
      </c>
      <c r="H127" s="69">
        <v>45161</v>
      </c>
      <c r="I127" s="58">
        <v>0.19</v>
      </c>
      <c r="J127" s="58">
        <v>1683216.75</v>
      </c>
    </row>
    <row r="128" spans="1:10" ht="15">
      <c r="A128" s="58" t="s">
        <v>749</v>
      </c>
      <c r="B128" s="58" t="s">
        <v>794</v>
      </c>
      <c r="C128" s="58" t="s">
        <v>793</v>
      </c>
      <c r="D128" s="58" t="s">
        <v>811</v>
      </c>
      <c r="E128" s="58">
        <v>145960</v>
      </c>
      <c r="F128" s="58">
        <v>88</v>
      </c>
      <c r="G128" s="58">
        <v>250086</v>
      </c>
      <c r="H128" s="69">
        <v>44615</v>
      </c>
      <c r="I128" s="58">
        <v>0.27</v>
      </c>
      <c r="J128" s="58">
        <v>385261.5</v>
      </c>
    </row>
    <row r="129" spans="1:10" ht="15">
      <c r="A129" s="58" t="s">
        <v>748</v>
      </c>
      <c r="B129" s="58" t="s">
        <v>787</v>
      </c>
      <c r="C129" s="58" t="s">
        <v>798</v>
      </c>
      <c r="D129" s="58" t="s">
        <v>810</v>
      </c>
      <c r="E129" s="58">
        <v>3517653</v>
      </c>
      <c r="F129" s="58">
        <v>97</v>
      </c>
      <c r="G129" s="58">
        <v>81843</v>
      </c>
      <c r="H129" s="69">
        <v>45271</v>
      </c>
      <c r="I129" s="58">
        <v>0.3</v>
      </c>
      <c r="J129" s="58">
        <v>1012924.26</v>
      </c>
    </row>
    <row r="130" spans="1:10" ht="15">
      <c r="A130" s="58" t="s">
        <v>748</v>
      </c>
      <c r="B130" s="58" t="s">
        <v>809</v>
      </c>
      <c r="C130" s="58" t="s">
        <v>788</v>
      </c>
      <c r="D130" s="58" t="s">
        <v>812</v>
      </c>
      <c r="E130" s="58">
        <v>3370983</v>
      </c>
      <c r="F130" s="58">
        <v>81</v>
      </c>
      <c r="G130" s="58">
        <v>408996</v>
      </c>
      <c r="H130" s="69">
        <v>45476</v>
      </c>
      <c r="I130" s="58">
        <v>0.1</v>
      </c>
      <c r="J130" s="58">
        <v>2758014.78</v>
      </c>
    </row>
    <row r="131" spans="1:10" ht="15">
      <c r="A131" s="58" t="s">
        <v>748</v>
      </c>
      <c r="B131" s="58" t="s">
        <v>804</v>
      </c>
      <c r="C131" s="58" t="s">
        <v>795</v>
      </c>
      <c r="D131" s="58" t="s">
        <v>800</v>
      </c>
      <c r="E131" s="58">
        <v>4625373</v>
      </c>
      <c r="F131" s="58">
        <v>3</v>
      </c>
      <c r="G131" s="58">
        <v>286271</v>
      </c>
      <c r="H131" s="69">
        <v>45157</v>
      </c>
      <c r="I131" s="58">
        <v>0.5</v>
      </c>
      <c r="J131" s="58">
        <v>3970228.6</v>
      </c>
    </row>
    <row r="132" spans="1:10" ht="15">
      <c r="A132" s="58" t="s">
        <v>745</v>
      </c>
      <c r="B132" s="58" t="s">
        <v>792</v>
      </c>
      <c r="C132" s="58" t="s">
        <v>795</v>
      </c>
      <c r="D132" s="58" t="s">
        <v>796</v>
      </c>
      <c r="E132" s="58">
        <v>914322</v>
      </c>
      <c r="F132" s="58">
        <v>54</v>
      </c>
      <c r="G132" s="58">
        <v>124157</v>
      </c>
      <c r="H132" s="69">
        <v>45429</v>
      </c>
      <c r="I132" s="58">
        <v>0.47</v>
      </c>
      <c r="J132" s="58">
        <v>2345367.5699999998</v>
      </c>
    </row>
    <row r="133" spans="1:10" ht="15">
      <c r="A133" s="58" t="s">
        <v>748</v>
      </c>
      <c r="B133" s="58" t="s">
        <v>787</v>
      </c>
      <c r="C133" s="58" t="s">
        <v>807</v>
      </c>
      <c r="D133" s="58" t="s">
        <v>815</v>
      </c>
      <c r="E133" s="58">
        <v>746507</v>
      </c>
      <c r="F133" s="58">
        <v>95</v>
      </c>
      <c r="G133" s="58">
        <v>435022</v>
      </c>
      <c r="H133" s="69">
        <v>45445</v>
      </c>
      <c r="I133" s="58">
        <v>0.34</v>
      </c>
      <c r="J133" s="58">
        <v>4335462.04</v>
      </c>
    </row>
    <row r="134" spans="1:10" ht="15">
      <c r="A134" s="58" t="s">
        <v>746</v>
      </c>
      <c r="B134" s="58" t="s">
        <v>792</v>
      </c>
      <c r="C134" s="58" t="s">
        <v>809</v>
      </c>
      <c r="D134" s="58" t="s">
        <v>800</v>
      </c>
      <c r="E134" s="58">
        <v>2050671</v>
      </c>
      <c r="F134" s="58">
        <v>36</v>
      </c>
      <c r="G134" s="58">
        <v>395347</v>
      </c>
      <c r="H134" s="69">
        <v>44716</v>
      </c>
      <c r="I134" s="58">
        <v>0.43</v>
      </c>
      <c r="J134" s="58">
        <v>1710510.88</v>
      </c>
    </row>
    <row r="135" spans="1:10" ht="15">
      <c r="A135" s="58" t="s">
        <v>746</v>
      </c>
      <c r="B135" s="58" t="s">
        <v>797</v>
      </c>
      <c r="C135" s="58" t="s">
        <v>807</v>
      </c>
      <c r="D135" s="58" t="s">
        <v>813</v>
      </c>
      <c r="E135" s="58">
        <v>4447138</v>
      </c>
      <c r="F135" s="58">
        <v>57</v>
      </c>
      <c r="G135" s="58">
        <v>466243</v>
      </c>
      <c r="H135" s="69">
        <v>45466</v>
      </c>
      <c r="I135" s="58">
        <v>0.02</v>
      </c>
      <c r="J135" s="58">
        <v>2897330.58</v>
      </c>
    </row>
    <row r="136" spans="1:10" ht="15">
      <c r="A136" s="58" t="s">
        <v>743</v>
      </c>
      <c r="B136" s="58" t="s">
        <v>804</v>
      </c>
      <c r="C136" s="58" t="s">
        <v>807</v>
      </c>
      <c r="D136" s="58" t="s">
        <v>813</v>
      </c>
      <c r="E136" s="58">
        <v>932174</v>
      </c>
      <c r="F136" s="58">
        <v>39</v>
      </c>
      <c r="G136" s="58">
        <v>494134</v>
      </c>
      <c r="H136" s="69">
        <v>45152</v>
      </c>
      <c r="I136" s="58">
        <v>0.18</v>
      </c>
      <c r="J136" s="58">
        <v>3240401.4</v>
      </c>
    </row>
    <row r="137" spans="1:10" ht="15">
      <c r="A137" s="58" t="s">
        <v>743</v>
      </c>
      <c r="B137" s="58" t="s">
        <v>792</v>
      </c>
      <c r="C137" s="58" t="s">
        <v>788</v>
      </c>
      <c r="D137" s="58" t="s">
        <v>812</v>
      </c>
      <c r="E137" s="58">
        <v>2793830</v>
      </c>
      <c r="F137" s="58">
        <v>86</v>
      </c>
      <c r="G137" s="58">
        <v>499755</v>
      </c>
      <c r="H137" s="69">
        <v>44715</v>
      </c>
      <c r="I137" s="58">
        <v>0.18</v>
      </c>
      <c r="J137" s="58">
        <v>3270345.6</v>
      </c>
    </row>
    <row r="138" spans="1:10" ht="15">
      <c r="A138" s="58" t="s">
        <v>740</v>
      </c>
      <c r="B138" s="58" t="s">
        <v>809</v>
      </c>
      <c r="C138" s="58" t="s">
        <v>807</v>
      </c>
      <c r="D138" s="58" t="s">
        <v>811</v>
      </c>
      <c r="E138" s="58">
        <v>4878990</v>
      </c>
      <c r="F138" s="58">
        <v>46</v>
      </c>
      <c r="G138" s="58">
        <v>249197</v>
      </c>
      <c r="H138" s="69">
        <v>45495</v>
      </c>
      <c r="I138" s="58">
        <v>0.09</v>
      </c>
      <c r="J138" s="58">
        <v>194484.68</v>
      </c>
    </row>
    <row r="139" spans="1:10" ht="15">
      <c r="A139" s="58" t="s">
        <v>745</v>
      </c>
      <c r="B139" s="58" t="s">
        <v>790</v>
      </c>
      <c r="C139" s="58" t="s">
        <v>807</v>
      </c>
      <c r="D139" s="58" t="s">
        <v>812</v>
      </c>
      <c r="E139" s="58">
        <v>3427929</v>
      </c>
      <c r="F139" s="58">
        <v>14</v>
      </c>
      <c r="G139" s="58">
        <v>482999</v>
      </c>
      <c r="H139" s="69">
        <v>45404</v>
      </c>
      <c r="I139" s="58">
        <v>0.26</v>
      </c>
      <c r="J139" s="58">
        <v>3280103.64</v>
      </c>
    </row>
    <row r="140" spans="1:10" ht="15">
      <c r="A140" s="58" t="s">
        <v>741</v>
      </c>
      <c r="B140" s="58" t="s">
        <v>808</v>
      </c>
      <c r="C140" s="58" t="s">
        <v>795</v>
      </c>
      <c r="D140" s="58" t="s">
        <v>810</v>
      </c>
      <c r="E140" s="58">
        <v>1612315</v>
      </c>
      <c r="F140" s="58">
        <v>30</v>
      </c>
      <c r="G140" s="58">
        <v>184667</v>
      </c>
      <c r="H140" s="69">
        <v>45065</v>
      </c>
      <c r="I140" s="58">
        <v>0.1</v>
      </c>
      <c r="J140" s="58">
        <v>3259786.82</v>
      </c>
    </row>
    <row r="141" spans="1:10" ht="15">
      <c r="A141" s="58" t="s">
        <v>745</v>
      </c>
      <c r="B141" s="58" t="s">
        <v>797</v>
      </c>
      <c r="C141" s="58" t="s">
        <v>798</v>
      </c>
      <c r="D141" s="58" t="s">
        <v>789</v>
      </c>
      <c r="E141" s="58">
        <v>2119002</v>
      </c>
      <c r="F141" s="58">
        <v>18</v>
      </c>
      <c r="G141" s="58">
        <v>179919</v>
      </c>
      <c r="H141" s="69">
        <v>44807</v>
      </c>
      <c r="I141" s="58">
        <v>0.34</v>
      </c>
      <c r="J141" s="58">
        <v>469584.47</v>
      </c>
    </row>
    <row r="142" spans="1:10" ht="15">
      <c r="A142" s="58" t="s">
        <v>742</v>
      </c>
      <c r="B142" s="58" t="s">
        <v>802</v>
      </c>
      <c r="C142" s="58" t="s">
        <v>809</v>
      </c>
      <c r="D142" s="58" t="s">
        <v>810</v>
      </c>
      <c r="E142" s="58">
        <v>1333902</v>
      </c>
      <c r="F142" s="58">
        <v>9</v>
      </c>
      <c r="G142" s="58">
        <v>402487</v>
      </c>
      <c r="H142" s="69">
        <v>45602</v>
      </c>
      <c r="I142" s="58">
        <v>0.45</v>
      </c>
      <c r="J142" s="58">
        <v>4145723.05</v>
      </c>
    </row>
    <row r="143" spans="1:10" ht="15">
      <c r="A143" s="58" t="s">
        <v>749</v>
      </c>
      <c r="B143" s="58" t="s">
        <v>794</v>
      </c>
      <c r="C143" s="58" t="s">
        <v>795</v>
      </c>
      <c r="D143" s="58" t="s">
        <v>810</v>
      </c>
      <c r="E143" s="58">
        <v>3181395</v>
      </c>
      <c r="F143" s="58">
        <v>24</v>
      </c>
      <c r="G143" s="58">
        <v>28281</v>
      </c>
      <c r="H143" s="69">
        <v>45463</v>
      </c>
      <c r="I143" s="58">
        <v>0.47</v>
      </c>
      <c r="J143" s="58">
        <v>2632245.4</v>
      </c>
    </row>
    <row r="144" spans="1:10" ht="15">
      <c r="A144" s="58" t="s">
        <v>745</v>
      </c>
      <c r="B144" s="58" t="s">
        <v>794</v>
      </c>
      <c r="C144" s="58" t="s">
        <v>788</v>
      </c>
      <c r="D144" s="58" t="s">
        <v>811</v>
      </c>
      <c r="E144" s="58">
        <v>1424835</v>
      </c>
      <c r="F144" s="58">
        <v>10</v>
      </c>
      <c r="G144" s="58">
        <v>61907</v>
      </c>
      <c r="H144" s="69">
        <v>45250</v>
      </c>
      <c r="I144" s="58">
        <v>0.14000000000000001</v>
      </c>
      <c r="J144" s="58">
        <v>990134.46</v>
      </c>
    </row>
    <row r="145" spans="1:10" ht="15">
      <c r="A145" s="58" t="s">
        <v>743</v>
      </c>
      <c r="B145" s="58" t="s">
        <v>792</v>
      </c>
      <c r="C145" s="58" t="s">
        <v>807</v>
      </c>
      <c r="D145" s="58" t="s">
        <v>796</v>
      </c>
      <c r="E145" s="58">
        <v>3503044</v>
      </c>
      <c r="F145" s="58">
        <v>36</v>
      </c>
      <c r="G145" s="58">
        <v>349736</v>
      </c>
      <c r="H145" s="69">
        <v>45005</v>
      </c>
      <c r="I145" s="58">
        <v>0.04</v>
      </c>
      <c r="J145" s="58">
        <v>1558485.76</v>
      </c>
    </row>
    <row r="146" spans="1:10" ht="15">
      <c r="A146" s="58" t="s">
        <v>744</v>
      </c>
      <c r="B146" s="58" t="s">
        <v>797</v>
      </c>
      <c r="C146" s="58" t="s">
        <v>807</v>
      </c>
      <c r="D146" s="58" t="s">
        <v>789</v>
      </c>
      <c r="E146" s="58">
        <v>4714279</v>
      </c>
      <c r="F146" s="58">
        <v>37</v>
      </c>
      <c r="G146" s="58">
        <v>15878</v>
      </c>
      <c r="H146" s="69">
        <v>45419</v>
      </c>
      <c r="I146" s="58">
        <v>0.5</v>
      </c>
      <c r="J146" s="58">
        <v>1424028</v>
      </c>
    </row>
    <row r="147" spans="1:10" ht="15">
      <c r="A147" s="58" t="s">
        <v>747</v>
      </c>
      <c r="B147" s="58" t="s">
        <v>804</v>
      </c>
      <c r="C147" s="58" t="s">
        <v>799</v>
      </c>
      <c r="D147" s="58" t="s">
        <v>805</v>
      </c>
      <c r="E147" s="58">
        <v>3212043</v>
      </c>
      <c r="F147" s="58">
        <v>41</v>
      </c>
      <c r="G147" s="58">
        <v>400217</v>
      </c>
      <c r="H147" s="69">
        <v>44868</v>
      </c>
      <c r="I147" s="58">
        <v>0.26</v>
      </c>
      <c r="J147" s="58">
        <v>3052267.68</v>
      </c>
    </row>
    <row r="148" spans="1:10" ht="15">
      <c r="A148" s="58" t="s">
        <v>748</v>
      </c>
      <c r="B148" s="58" t="s">
        <v>797</v>
      </c>
      <c r="C148" s="58" t="s">
        <v>788</v>
      </c>
      <c r="D148" s="58" t="s">
        <v>810</v>
      </c>
      <c r="E148" s="58">
        <v>3176980</v>
      </c>
      <c r="F148" s="58">
        <v>35</v>
      </c>
      <c r="G148" s="58">
        <v>276452</v>
      </c>
      <c r="H148" s="69">
        <v>45040</v>
      </c>
      <c r="I148" s="58">
        <v>0.33</v>
      </c>
      <c r="J148" s="58">
        <v>805663.32</v>
      </c>
    </row>
    <row r="149" spans="1:10" ht="15">
      <c r="A149" s="58" t="s">
        <v>743</v>
      </c>
      <c r="B149" s="58" t="s">
        <v>797</v>
      </c>
      <c r="C149" s="58" t="s">
        <v>798</v>
      </c>
      <c r="D149" s="58" t="s">
        <v>810</v>
      </c>
      <c r="E149" s="58">
        <v>162411</v>
      </c>
      <c r="F149" s="58">
        <v>84</v>
      </c>
      <c r="G149" s="58">
        <v>465347</v>
      </c>
      <c r="H149" s="69">
        <v>44758</v>
      </c>
      <c r="I149" s="58">
        <v>0.19</v>
      </c>
      <c r="J149" s="58">
        <v>3825865.72</v>
      </c>
    </row>
    <row r="150" spans="1:10" ht="15">
      <c r="A150" s="58" t="s">
        <v>745</v>
      </c>
      <c r="B150" s="58" t="s">
        <v>814</v>
      </c>
      <c r="C150" s="58" t="s">
        <v>793</v>
      </c>
      <c r="D150" s="58" t="s">
        <v>801</v>
      </c>
      <c r="E150" s="58">
        <v>286737</v>
      </c>
      <c r="F150" s="58">
        <v>83</v>
      </c>
      <c r="G150" s="58">
        <v>44865</v>
      </c>
      <c r="H150" s="69">
        <v>44789</v>
      </c>
      <c r="I150" s="58">
        <v>0.36</v>
      </c>
      <c r="J150" s="58">
        <v>3391642.56</v>
      </c>
    </row>
    <row r="151" spans="1:10" ht="15">
      <c r="A151" s="58" t="s">
        <v>745</v>
      </c>
      <c r="B151" s="58" t="s">
        <v>809</v>
      </c>
      <c r="C151" s="58" t="s">
        <v>788</v>
      </c>
      <c r="D151" s="58" t="s">
        <v>801</v>
      </c>
      <c r="E151" s="58">
        <v>3015768</v>
      </c>
      <c r="F151" s="58">
        <v>77</v>
      </c>
      <c r="G151" s="58">
        <v>54585</v>
      </c>
      <c r="H151" s="69">
        <v>44640</v>
      </c>
      <c r="I151" s="58">
        <v>0.24</v>
      </c>
      <c r="J151" s="58">
        <v>1118524.44</v>
      </c>
    </row>
    <row r="152" spans="1:10" ht="15">
      <c r="A152" s="58" t="s">
        <v>742</v>
      </c>
      <c r="B152" s="58" t="s">
        <v>802</v>
      </c>
      <c r="C152" s="58" t="s">
        <v>788</v>
      </c>
      <c r="D152" s="58" t="s">
        <v>812</v>
      </c>
      <c r="E152" s="58">
        <v>2611719</v>
      </c>
      <c r="F152" s="58">
        <v>71</v>
      </c>
      <c r="G152" s="58">
        <v>166136</v>
      </c>
      <c r="H152" s="69">
        <v>44870</v>
      </c>
      <c r="I152" s="58">
        <v>0.09</v>
      </c>
      <c r="J152" s="58">
        <v>1635156.88</v>
      </c>
    </row>
    <row r="153" spans="1:10" ht="15">
      <c r="A153" s="58" t="s">
        <v>748</v>
      </c>
      <c r="B153" s="58" t="s">
        <v>814</v>
      </c>
      <c r="C153" s="58" t="s">
        <v>809</v>
      </c>
      <c r="D153" s="58" t="s">
        <v>796</v>
      </c>
      <c r="E153" s="58">
        <v>536002</v>
      </c>
      <c r="F153" s="58">
        <v>54</v>
      </c>
      <c r="G153" s="58">
        <v>474726</v>
      </c>
      <c r="H153" s="69">
        <v>45131</v>
      </c>
      <c r="I153" s="58">
        <v>0.16</v>
      </c>
      <c r="J153" s="58">
        <v>4036179.98</v>
      </c>
    </row>
    <row r="154" spans="1:10" ht="15">
      <c r="A154" s="58" t="s">
        <v>741</v>
      </c>
      <c r="B154" s="58" t="s">
        <v>802</v>
      </c>
      <c r="C154" s="58" t="s">
        <v>799</v>
      </c>
      <c r="D154" s="58" t="s">
        <v>812</v>
      </c>
      <c r="E154" s="58">
        <v>4116521</v>
      </c>
      <c r="F154" s="58">
        <v>15</v>
      </c>
      <c r="G154" s="58">
        <v>16398</v>
      </c>
      <c r="H154" s="69">
        <v>45342</v>
      </c>
      <c r="I154" s="58">
        <v>0.22</v>
      </c>
      <c r="J154" s="58">
        <v>3060014.91</v>
      </c>
    </row>
    <row r="155" spans="1:10" ht="15">
      <c r="A155" s="58" t="s">
        <v>742</v>
      </c>
      <c r="B155" s="58" t="s">
        <v>787</v>
      </c>
      <c r="C155" s="58" t="s">
        <v>788</v>
      </c>
      <c r="D155" s="58" t="s">
        <v>803</v>
      </c>
      <c r="E155" s="58">
        <v>3035755</v>
      </c>
      <c r="F155" s="58">
        <v>65</v>
      </c>
      <c r="G155" s="58">
        <v>319409</v>
      </c>
      <c r="H155" s="69">
        <v>45410</v>
      </c>
      <c r="I155" s="58">
        <v>0.39</v>
      </c>
      <c r="J155" s="58">
        <v>306772.2</v>
      </c>
    </row>
    <row r="156" spans="1:10" ht="15">
      <c r="A156" s="55" t="s">
        <v>747</v>
      </c>
      <c r="B156" s="56" t="s">
        <v>790</v>
      </c>
      <c r="C156" s="56" t="s">
        <v>795</v>
      </c>
      <c r="D156" s="56" t="s">
        <v>812</v>
      </c>
      <c r="E156" s="56">
        <v>1349464</v>
      </c>
      <c r="F156" s="56">
        <v>69</v>
      </c>
      <c r="G156" s="56">
        <v>260124</v>
      </c>
      <c r="H156" s="68">
        <v>44928</v>
      </c>
      <c r="I156" s="56">
        <v>0.08</v>
      </c>
      <c r="J156" s="56">
        <v>336078.54</v>
      </c>
    </row>
    <row r="157" spans="1:10" ht="15">
      <c r="A157" s="58" t="s">
        <v>740</v>
      </c>
      <c r="B157" s="58" t="s">
        <v>808</v>
      </c>
      <c r="C157" s="58" t="s">
        <v>795</v>
      </c>
      <c r="D157" s="58" t="s">
        <v>813</v>
      </c>
      <c r="E157" s="58">
        <v>4527983</v>
      </c>
      <c r="F157" s="58">
        <v>61</v>
      </c>
      <c r="G157" s="58">
        <v>100248</v>
      </c>
      <c r="H157" s="69">
        <v>44843</v>
      </c>
      <c r="I157" s="58">
        <v>0.39</v>
      </c>
      <c r="J157" s="58">
        <v>3122479.78</v>
      </c>
    </row>
    <row r="158" spans="1:10" ht="15">
      <c r="A158" s="58" t="s">
        <v>745</v>
      </c>
      <c r="B158" s="58" t="s">
        <v>804</v>
      </c>
      <c r="C158" s="58" t="s">
        <v>798</v>
      </c>
      <c r="D158" s="58" t="s">
        <v>800</v>
      </c>
      <c r="E158" s="58">
        <v>4336682</v>
      </c>
      <c r="F158" s="58">
        <v>91</v>
      </c>
      <c r="G158" s="58">
        <v>23278</v>
      </c>
      <c r="H158" s="69">
        <v>45621</v>
      </c>
      <c r="I158" s="58">
        <v>0.27</v>
      </c>
      <c r="J158" s="58">
        <v>1401657.39</v>
      </c>
    </row>
    <row r="159" spans="1:10" ht="15">
      <c r="A159" s="58" t="s">
        <v>743</v>
      </c>
      <c r="B159" s="58" t="s">
        <v>808</v>
      </c>
      <c r="C159" s="58" t="s">
        <v>788</v>
      </c>
      <c r="D159" s="58" t="s">
        <v>796</v>
      </c>
      <c r="E159" s="58">
        <v>860242</v>
      </c>
      <c r="F159" s="58">
        <v>82</v>
      </c>
      <c r="G159" s="58">
        <v>3889</v>
      </c>
      <c r="H159" s="69">
        <v>44696</v>
      </c>
      <c r="I159" s="58">
        <v>0.46</v>
      </c>
      <c r="J159" s="58">
        <v>1805062.05</v>
      </c>
    </row>
    <row r="160" spans="1:10" ht="15">
      <c r="A160" s="58" t="s">
        <v>749</v>
      </c>
      <c r="B160" s="58" t="s">
        <v>794</v>
      </c>
      <c r="C160" s="58" t="s">
        <v>799</v>
      </c>
      <c r="D160" s="58" t="s">
        <v>803</v>
      </c>
      <c r="E160" s="58">
        <v>4302282</v>
      </c>
      <c r="F160" s="58">
        <v>88</v>
      </c>
      <c r="G160" s="58">
        <v>349143</v>
      </c>
      <c r="H160" s="69">
        <v>45557</v>
      </c>
      <c r="I160" s="58">
        <v>0.38</v>
      </c>
      <c r="J160" s="58">
        <v>936297.6</v>
      </c>
    </row>
    <row r="161" spans="1:10" ht="15">
      <c r="A161" s="58" t="s">
        <v>745</v>
      </c>
      <c r="B161" s="58" t="s">
        <v>794</v>
      </c>
      <c r="C161" s="58" t="s">
        <v>809</v>
      </c>
      <c r="D161" s="58" t="s">
        <v>803</v>
      </c>
      <c r="E161" s="58">
        <v>4465768</v>
      </c>
      <c r="F161" s="58">
        <v>63</v>
      </c>
      <c r="G161" s="58">
        <v>448561</v>
      </c>
      <c r="H161" s="69">
        <v>45165</v>
      </c>
      <c r="I161" s="58">
        <v>0.05</v>
      </c>
      <c r="J161" s="58">
        <v>1815051.25</v>
      </c>
    </row>
    <row r="162" spans="1:10" ht="15">
      <c r="A162" s="58" t="s">
        <v>747</v>
      </c>
      <c r="B162" s="58" t="s">
        <v>794</v>
      </c>
      <c r="C162" s="58" t="s">
        <v>799</v>
      </c>
      <c r="D162" s="58" t="s">
        <v>806</v>
      </c>
      <c r="E162" s="58">
        <v>4191579</v>
      </c>
      <c r="F162" s="58">
        <v>35</v>
      </c>
      <c r="G162" s="58">
        <v>421379</v>
      </c>
      <c r="H162" s="69">
        <v>45267</v>
      </c>
      <c r="I162" s="58">
        <v>0.19</v>
      </c>
      <c r="J162" s="58">
        <v>726160</v>
      </c>
    </row>
    <row r="163" spans="1:10" ht="15">
      <c r="A163" s="58" t="s">
        <v>746</v>
      </c>
      <c r="B163" s="58" t="s">
        <v>787</v>
      </c>
      <c r="C163" s="58" t="s">
        <v>799</v>
      </c>
      <c r="D163" s="58" t="s">
        <v>801</v>
      </c>
      <c r="E163" s="58">
        <v>1623160</v>
      </c>
      <c r="F163" s="58">
        <v>73</v>
      </c>
      <c r="G163" s="58">
        <v>99921</v>
      </c>
      <c r="H163" s="69">
        <v>45242</v>
      </c>
      <c r="I163" s="58">
        <v>0.2</v>
      </c>
      <c r="J163" s="58">
        <v>301640.17</v>
      </c>
    </row>
    <row r="164" spans="1:10" ht="15">
      <c r="A164" s="58" t="s">
        <v>743</v>
      </c>
      <c r="B164" s="58" t="s">
        <v>787</v>
      </c>
      <c r="C164" s="58" t="s">
        <v>799</v>
      </c>
      <c r="D164" s="58" t="s">
        <v>789</v>
      </c>
      <c r="E164" s="58">
        <v>3574594</v>
      </c>
      <c r="F164" s="58">
        <v>75</v>
      </c>
      <c r="G164" s="58">
        <v>227132</v>
      </c>
      <c r="H164" s="69">
        <v>45550</v>
      </c>
      <c r="I164" s="58">
        <v>7.0000000000000007E-2</v>
      </c>
      <c r="J164" s="58">
        <v>342855.67999999999</v>
      </c>
    </row>
    <row r="165" spans="1:10" ht="15">
      <c r="A165" s="58" t="s">
        <v>745</v>
      </c>
      <c r="B165" s="58" t="s">
        <v>797</v>
      </c>
      <c r="C165" s="58" t="s">
        <v>795</v>
      </c>
      <c r="D165" s="58" t="s">
        <v>803</v>
      </c>
      <c r="E165" s="58">
        <v>1266713</v>
      </c>
      <c r="F165" s="58">
        <v>90</v>
      </c>
      <c r="G165" s="58">
        <v>252043</v>
      </c>
      <c r="H165" s="69">
        <v>45007</v>
      </c>
      <c r="I165" s="58">
        <v>0.15</v>
      </c>
      <c r="J165" s="58">
        <v>1558388.16</v>
      </c>
    </row>
    <row r="166" spans="1:10" ht="15">
      <c r="A166" s="58" t="s">
        <v>743</v>
      </c>
      <c r="B166" s="58" t="s">
        <v>797</v>
      </c>
      <c r="C166" s="58" t="s">
        <v>809</v>
      </c>
      <c r="D166" s="58" t="s">
        <v>813</v>
      </c>
      <c r="E166" s="58">
        <v>1108750</v>
      </c>
      <c r="F166" s="58">
        <v>18</v>
      </c>
      <c r="G166" s="58">
        <v>250300</v>
      </c>
      <c r="H166" s="69">
        <v>45113</v>
      </c>
      <c r="I166" s="58">
        <v>0.19</v>
      </c>
      <c r="J166" s="58">
        <v>2917020.47</v>
      </c>
    </row>
    <row r="167" spans="1:10" ht="15">
      <c r="A167" s="58" t="s">
        <v>742</v>
      </c>
      <c r="B167" s="58" t="s">
        <v>790</v>
      </c>
      <c r="C167" s="58" t="s">
        <v>799</v>
      </c>
      <c r="D167" s="58" t="s">
        <v>796</v>
      </c>
      <c r="E167" s="58">
        <v>3401916</v>
      </c>
      <c r="F167" s="58">
        <v>63</v>
      </c>
      <c r="G167" s="58">
        <v>400743</v>
      </c>
      <c r="H167" s="69">
        <v>45233</v>
      </c>
      <c r="I167" s="58">
        <v>0.27</v>
      </c>
      <c r="J167" s="58">
        <v>929988.24</v>
      </c>
    </row>
    <row r="168" spans="1:10" ht="15">
      <c r="A168" s="58" t="s">
        <v>748</v>
      </c>
      <c r="B168" s="58" t="s">
        <v>790</v>
      </c>
      <c r="C168" s="58" t="s">
        <v>788</v>
      </c>
      <c r="D168" s="58" t="s">
        <v>815</v>
      </c>
      <c r="E168" s="58">
        <v>3558185</v>
      </c>
      <c r="F168" s="58">
        <v>58</v>
      </c>
      <c r="G168" s="58">
        <v>162880</v>
      </c>
      <c r="H168" s="69">
        <v>45480</v>
      </c>
      <c r="I168" s="58">
        <v>0.25</v>
      </c>
      <c r="J168" s="58">
        <v>3247227.48</v>
      </c>
    </row>
    <row r="169" spans="1:10" ht="15">
      <c r="A169" s="58" t="s">
        <v>748</v>
      </c>
      <c r="B169" s="58" t="s">
        <v>814</v>
      </c>
      <c r="C169" s="58" t="s">
        <v>795</v>
      </c>
      <c r="D169" s="58" t="s">
        <v>805</v>
      </c>
      <c r="E169" s="58">
        <v>3579455</v>
      </c>
      <c r="F169" s="58">
        <v>79</v>
      </c>
      <c r="G169" s="58">
        <v>397564</v>
      </c>
      <c r="H169" s="69">
        <v>45341</v>
      </c>
      <c r="I169" s="58">
        <v>0.35</v>
      </c>
      <c r="J169" s="58">
        <v>1813766.08</v>
      </c>
    </row>
    <row r="170" spans="1:10" ht="15">
      <c r="A170" s="58" t="s">
        <v>748</v>
      </c>
      <c r="B170" s="58" t="s">
        <v>814</v>
      </c>
      <c r="C170" s="58" t="s">
        <v>798</v>
      </c>
      <c r="D170" s="58" t="s">
        <v>810</v>
      </c>
      <c r="E170" s="58">
        <v>791409</v>
      </c>
      <c r="F170" s="58">
        <v>19</v>
      </c>
      <c r="G170" s="58">
        <v>448447</v>
      </c>
      <c r="H170" s="69">
        <v>45604</v>
      </c>
      <c r="I170" s="58">
        <v>0.47</v>
      </c>
      <c r="J170" s="58">
        <v>2569608.75</v>
      </c>
    </row>
    <row r="171" spans="1:10" ht="15">
      <c r="A171" s="58" t="s">
        <v>749</v>
      </c>
      <c r="B171" s="58" t="s">
        <v>797</v>
      </c>
      <c r="C171" s="58" t="s">
        <v>788</v>
      </c>
      <c r="D171" s="58" t="s">
        <v>796</v>
      </c>
      <c r="E171" s="58">
        <v>3915210</v>
      </c>
      <c r="F171" s="58">
        <v>53</v>
      </c>
      <c r="G171" s="58">
        <v>246699</v>
      </c>
      <c r="H171" s="69">
        <v>44933</v>
      </c>
      <c r="I171" s="58">
        <v>0.47</v>
      </c>
      <c r="J171" s="58">
        <v>1471051.2</v>
      </c>
    </row>
    <row r="172" spans="1:10" ht="15">
      <c r="A172" s="58" t="s">
        <v>746</v>
      </c>
      <c r="B172" s="58" t="s">
        <v>790</v>
      </c>
      <c r="C172" s="58" t="s">
        <v>807</v>
      </c>
      <c r="D172" s="58" t="s">
        <v>789</v>
      </c>
      <c r="E172" s="58">
        <v>3923362</v>
      </c>
      <c r="F172" s="58">
        <v>48</v>
      </c>
      <c r="G172" s="58">
        <v>304901</v>
      </c>
      <c r="H172" s="69">
        <v>45600</v>
      </c>
      <c r="I172" s="58">
        <v>0.13</v>
      </c>
      <c r="J172" s="58">
        <v>1528747.02</v>
      </c>
    </row>
    <row r="173" spans="1:10" ht="15">
      <c r="A173" s="58" t="s">
        <v>745</v>
      </c>
      <c r="B173" s="58" t="s">
        <v>792</v>
      </c>
      <c r="C173" s="58" t="s">
        <v>798</v>
      </c>
      <c r="D173" s="58" t="s">
        <v>815</v>
      </c>
      <c r="E173" s="58">
        <v>1663987</v>
      </c>
      <c r="F173" s="58">
        <v>7</v>
      </c>
      <c r="G173" s="58">
        <v>456040</v>
      </c>
      <c r="H173" s="69">
        <v>45063</v>
      </c>
      <c r="I173" s="58">
        <v>0.23</v>
      </c>
      <c r="J173" s="58">
        <v>561913.1</v>
      </c>
    </row>
    <row r="174" spans="1:10" ht="15">
      <c r="A174" s="58" t="s">
        <v>745</v>
      </c>
      <c r="B174" s="58" t="s">
        <v>794</v>
      </c>
      <c r="C174" s="58" t="s">
        <v>793</v>
      </c>
      <c r="D174" s="58" t="s">
        <v>813</v>
      </c>
      <c r="E174" s="58">
        <v>4390505</v>
      </c>
      <c r="F174" s="58">
        <v>78</v>
      </c>
      <c r="G174" s="58">
        <v>171685</v>
      </c>
      <c r="H174" s="69">
        <v>45549</v>
      </c>
      <c r="I174" s="58">
        <v>0.12</v>
      </c>
      <c r="J174" s="58">
        <v>1318412.6399999999</v>
      </c>
    </row>
    <row r="175" spans="1:10" ht="15">
      <c r="A175" s="58" t="s">
        <v>745</v>
      </c>
      <c r="B175" s="58" t="s">
        <v>790</v>
      </c>
      <c r="C175" s="58" t="s">
        <v>809</v>
      </c>
      <c r="D175" s="58" t="s">
        <v>805</v>
      </c>
      <c r="E175" s="58">
        <v>3602273</v>
      </c>
      <c r="F175" s="58">
        <v>63</v>
      </c>
      <c r="G175" s="58">
        <v>205914</v>
      </c>
      <c r="H175" s="69">
        <v>44732</v>
      </c>
      <c r="I175" s="58">
        <v>0.05</v>
      </c>
      <c r="J175" s="58">
        <v>3817189.92</v>
      </c>
    </row>
    <row r="176" spans="1:10" ht="15">
      <c r="A176" s="58" t="s">
        <v>744</v>
      </c>
      <c r="B176" s="58" t="s">
        <v>790</v>
      </c>
      <c r="C176" s="58" t="s">
        <v>788</v>
      </c>
      <c r="D176" s="58" t="s">
        <v>789</v>
      </c>
      <c r="E176" s="58">
        <v>3000348</v>
      </c>
      <c r="F176" s="58">
        <v>31</v>
      </c>
      <c r="G176" s="58">
        <v>388367</v>
      </c>
      <c r="H176" s="69">
        <v>44817</v>
      </c>
      <c r="I176" s="58">
        <v>0.19</v>
      </c>
      <c r="J176" s="58">
        <v>3213549.24</v>
      </c>
    </row>
    <row r="177" spans="1:10" ht="15">
      <c r="A177" s="58" t="s">
        <v>741</v>
      </c>
      <c r="B177" s="58" t="s">
        <v>808</v>
      </c>
      <c r="C177" s="58" t="s">
        <v>788</v>
      </c>
      <c r="D177" s="58" t="s">
        <v>815</v>
      </c>
      <c r="E177" s="58">
        <v>20772</v>
      </c>
      <c r="F177" s="58">
        <v>51</v>
      </c>
      <c r="G177" s="58">
        <v>462794</v>
      </c>
      <c r="H177" s="69">
        <v>44941</v>
      </c>
      <c r="I177" s="58">
        <v>0.01</v>
      </c>
      <c r="J177" s="58">
        <v>1821535.56</v>
      </c>
    </row>
    <row r="178" spans="1:10" ht="15">
      <c r="A178" s="58" t="s">
        <v>743</v>
      </c>
      <c r="B178" s="58" t="s">
        <v>804</v>
      </c>
      <c r="C178" s="58" t="s">
        <v>809</v>
      </c>
      <c r="D178" s="58" t="s">
        <v>811</v>
      </c>
      <c r="E178" s="58">
        <v>4996506</v>
      </c>
      <c r="F178" s="58">
        <v>99</v>
      </c>
      <c r="G178" s="58">
        <v>95375</v>
      </c>
      <c r="H178" s="69">
        <v>44897</v>
      </c>
      <c r="I178" s="58">
        <v>0.49</v>
      </c>
      <c r="J178" s="58">
        <v>2407981.42</v>
      </c>
    </row>
    <row r="179" spans="1:10" ht="15">
      <c r="A179" s="58" t="s">
        <v>742</v>
      </c>
      <c r="B179" s="58" t="s">
        <v>809</v>
      </c>
      <c r="C179" s="58" t="s">
        <v>788</v>
      </c>
      <c r="D179" s="58" t="s">
        <v>815</v>
      </c>
      <c r="E179" s="58">
        <v>1584165</v>
      </c>
      <c r="F179" s="58">
        <v>80</v>
      </c>
      <c r="G179" s="58">
        <v>366409</v>
      </c>
      <c r="H179" s="69">
        <v>44784</v>
      </c>
      <c r="I179" s="58">
        <v>0.26</v>
      </c>
      <c r="J179" s="58">
        <v>1374403.8</v>
      </c>
    </row>
    <row r="180" spans="1:10" ht="15">
      <c r="A180" s="58" t="s">
        <v>743</v>
      </c>
      <c r="B180" s="58" t="s">
        <v>804</v>
      </c>
      <c r="C180" s="58" t="s">
        <v>788</v>
      </c>
      <c r="D180" s="58" t="s">
        <v>796</v>
      </c>
      <c r="E180" s="58">
        <v>165398</v>
      </c>
      <c r="F180" s="58">
        <v>65</v>
      </c>
      <c r="G180" s="58">
        <v>36148</v>
      </c>
      <c r="H180" s="69">
        <v>45272</v>
      </c>
      <c r="I180" s="58">
        <v>0.06</v>
      </c>
      <c r="J180" s="58">
        <v>3486083.04</v>
      </c>
    </row>
    <row r="181" spans="1:10" ht="15">
      <c r="A181" s="58" t="s">
        <v>745</v>
      </c>
      <c r="B181" s="58" t="s">
        <v>808</v>
      </c>
      <c r="C181" s="58" t="s">
        <v>799</v>
      </c>
      <c r="D181" s="58" t="s">
        <v>800</v>
      </c>
      <c r="E181" s="58">
        <v>4619016</v>
      </c>
      <c r="F181" s="58">
        <v>11</v>
      </c>
      <c r="G181" s="58">
        <v>24479</v>
      </c>
      <c r="H181" s="69">
        <v>44792</v>
      </c>
      <c r="I181" s="58">
        <v>0.17</v>
      </c>
      <c r="J181" s="58">
        <v>750865.31</v>
      </c>
    </row>
    <row r="182" spans="1:10" ht="15">
      <c r="A182" s="58" t="s">
        <v>743</v>
      </c>
      <c r="B182" s="58" t="s">
        <v>794</v>
      </c>
      <c r="C182" s="58" t="s">
        <v>788</v>
      </c>
      <c r="D182" s="58" t="s">
        <v>789</v>
      </c>
      <c r="E182" s="58">
        <v>213893</v>
      </c>
      <c r="F182" s="58">
        <v>48</v>
      </c>
      <c r="G182" s="58">
        <v>130091</v>
      </c>
      <c r="H182" s="69">
        <v>45566</v>
      </c>
      <c r="I182" s="58">
        <v>0.35</v>
      </c>
      <c r="J182" s="58">
        <v>424548.74</v>
      </c>
    </row>
    <row r="183" spans="1:10" ht="15">
      <c r="A183" s="58" t="s">
        <v>740</v>
      </c>
      <c r="B183" s="58" t="s">
        <v>792</v>
      </c>
      <c r="C183" s="58" t="s">
        <v>809</v>
      </c>
      <c r="D183" s="58" t="s">
        <v>812</v>
      </c>
      <c r="E183" s="58">
        <v>2111321</v>
      </c>
      <c r="F183" s="58">
        <v>89</v>
      </c>
      <c r="G183" s="58">
        <v>185260</v>
      </c>
      <c r="H183" s="69">
        <v>45364</v>
      </c>
      <c r="I183" s="58">
        <v>0.14000000000000001</v>
      </c>
      <c r="J183" s="58">
        <v>2040297.35</v>
      </c>
    </row>
    <row r="184" spans="1:10" ht="15">
      <c r="A184" s="58" t="s">
        <v>749</v>
      </c>
      <c r="B184" s="58" t="s">
        <v>787</v>
      </c>
      <c r="C184" s="58" t="s">
        <v>793</v>
      </c>
      <c r="D184" s="58" t="s">
        <v>805</v>
      </c>
      <c r="E184" s="58">
        <v>4628494</v>
      </c>
      <c r="F184" s="58">
        <v>5</v>
      </c>
      <c r="G184" s="58">
        <v>253928</v>
      </c>
      <c r="H184" s="69">
        <v>45604</v>
      </c>
      <c r="I184" s="58">
        <v>0.03</v>
      </c>
      <c r="J184" s="58">
        <v>4519765.4400000004</v>
      </c>
    </row>
    <row r="185" spans="1:10" ht="15">
      <c r="A185" s="58" t="s">
        <v>741</v>
      </c>
      <c r="B185" s="58" t="s">
        <v>804</v>
      </c>
      <c r="C185" s="58" t="s">
        <v>807</v>
      </c>
      <c r="D185" s="58" t="s">
        <v>803</v>
      </c>
      <c r="E185" s="58">
        <v>1807982</v>
      </c>
      <c r="F185" s="58">
        <v>59</v>
      </c>
      <c r="G185" s="58">
        <v>6181</v>
      </c>
      <c r="H185" s="69">
        <v>45559</v>
      </c>
      <c r="I185" s="58">
        <v>0.36</v>
      </c>
      <c r="J185" s="58">
        <v>2711620.8</v>
      </c>
    </row>
    <row r="186" spans="1:10" ht="15">
      <c r="A186" s="58" t="s">
        <v>741</v>
      </c>
      <c r="B186" s="58" t="s">
        <v>814</v>
      </c>
      <c r="C186" s="58" t="s">
        <v>793</v>
      </c>
      <c r="D186" s="58" t="s">
        <v>813</v>
      </c>
      <c r="E186" s="58">
        <v>4674812</v>
      </c>
      <c r="F186" s="58">
        <v>26</v>
      </c>
      <c r="G186" s="58">
        <v>86052</v>
      </c>
      <c r="H186" s="69">
        <v>44762</v>
      </c>
      <c r="I186" s="58">
        <v>0.39</v>
      </c>
      <c r="J186" s="58">
        <v>2626726.4</v>
      </c>
    </row>
    <row r="187" spans="1:10" ht="15">
      <c r="A187" s="58" t="s">
        <v>741</v>
      </c>
      <c r="B187" s="58" t="s">
        <v>814</v>
      </c>
      <c r="C187" s="58" t="s">
        <v>793</v>
      </c>
      <c r="D187" s="58" t="s">
        <v>812</v>
      </c>
      <c r="E187" s="58">
        <v>2861203</v>
      </c>
      <c r="F187" s="58">
        <v>18</v>
      </c>
      <c r="G187" s="58">
        <v>46282</v>
      </c>
      <c r="H187" s="69">
        <v>45360</v>
      </c>
      <c r="I187" s="58">
        <v>0.45</v>
      </c>
      <c r="J187" s="58">
        <v>554893.21</v>
      </c>
    </row>
    <row r="188" spans="1:10" ht="15">
      <c r="A188" s="58" t="s">
        <v>746</v>
      </c>
      <c r="B188" s="58" t="s">
        <v>814</v>
      </c>
      <c r="C188" s="58" t="s">
        <v>807</v>
      </c>
      <c r="D188" s="58" t="s">
        <v>815</v>
      </c>
      <c r="E188" s="58">
        <v>4375326</v>
      </c>
      <c r="F188" s="58">
        <v>76</v>
      </c>
      <c r="G188" s="58">
        <v>129970</v>
      </c>
      <c r="H188" s="69">
        <v>44819</v>
      </c>
      <c r="I188" s="58">
        <v>0.22</v>
      </c>
      <c r="J188" s="58">
        <v>2808990.92</v>
      </c>
    </row>
    <row r="189" spans="1:10" ht="15">
      <c r="A189" s="58" t="s">
        <v>747</v>
      </c>
      <c r="B189" s="58" t="s">
        <v>794</v>
      </c>
      <c r="C189" s="58" t="s">
        <v>799</v>
      </c>
      <c r="D189" s="58" t="s">
        <v>796</v>
      </c>
      <c r="E189" s="58">
        <v>2078103</v>
      </c>
      <c r="F189" s="58">
        <v>58</v>
      </c>
      <c r="G189" s="58">
        <v>70565</v>
      </c>
      <c r="H189" s="69">
        <v>44758</v>
      </c>
      <c r="I189" s="58">
        <v>0.37</v>
      </c>
      <c r="J189" s="58">
        <v>410148.9</v>
      </c>
    </row>
    <row r="190" spans="1:10" ht="15">
      <c r="A190" s="58" t="s">
        <v>745</v>
      </c>
      <c r="B190" s="58" t="s">
        <v>790</v>
      </c>
      <c r="C190" s="58" t="s">
        <v>799</v>
      </c>
      <c r="D190" s="58" t="s">
        <v>813</v>
      </c>
      <c r="E190" s="58">
        <v>1226931</v>
      </c>
      <c r="F190" s="58">
        <v>79</v>
      </c>
      <c r="G190" s="58">
        <v>429409</v>
      </c>
      <c r="H190" s="69">
        <v>44618</v>
      </c>
      <c r="I190" s="58">
        <v>0.08</v>
      </c>
      <c r="J190" s="58">
        <v>746840.88</v>
      </c>
    </row>
    <row r="191" spans="1:10" ht="15">
      <c r="A191" s="58" t="s">
        <v>749</v>
      </c>
      <c r="B191" s="58" t="s">
        <v>797</v>
      </c>
      <c r="C191" s="58" t="s">
        <v>799</v>
      </c>
      <c r="D191" s="58" t="s">
        <v>805</v>
      </c>
      <c r="E191" s="58">
        <v>2836174</v>
      </c>
      <c r="F191" s="58">
        <v>5</v>
      </c>
      <c r="G191" s="58">
        <v>311322</v>
      </c>
      <c r="H191" s="69">
        <v>44757</v>
      </c>
      <c r="I191" s="58">
        <v>0.24</v>
      </c>
      <c r="J191" s="58">
        <v>1651827.24</v>
      </c>
    </row>
    <row r="192" spans="1:10" ht="15">
      <c r="A192" s="58" t="s">
        <v>741</v>
      </c>
      <c r="B192" s="58" t="s">
        <v>808</v>
      </c>
      <c r="C192" s="58" t="s">
        <v>798</v>
      </c>
      <c r="D192" s="58" t="s">
        <v>801</v>
      </c>
      <c r="E192" s="58">
        <v>2237503</v>
      </c>
      <c r="F192" s="58">
        <v>84</v>
      </c>
      <c r="G192" s="58">
        <v>484213</v>
      </c>
      <c r="H192" s="69">
        <v>45301</v>
      </c>
      <c r="I192" s="58">
        <v>0.09</v>
      </c>
      <c r="J192" s="58">
        <v>1147827.8700000001</v>
      </c>
    </row>
    <row r="193" spans="1:10" ht="15">
      <c r="A193" s="58" t="s">
        <v>747</v>
      </c>
      <c r="B193" s="58" t="s">
        <v>802</v>
      </c>
      <c r="C193" s="58" t="s">
        <v>809</v>
      </c>
      <c r="D193" s="58" t="s">
        <v>811</v>
      </c>
      <c r="E193" s="58">
        <v>12736</v>
      </c>
      <c r="F193" s="58">
        <v>4</v>
      </c>
      <c r="G193" s="58">
        <v>442735</v>
      </c>
      <c r="H193" s="69">
        <v>45641</v>
      </c>
      <c r="I193" s="58">
        <v>0.15</v>
      </c>
      <c r="J193" s="58">
        <v>1969344.8</v>
      </c>
    </row>
    <row r="194" spans="1:10" ht="15">
      <c r="A194" s="58" t="s">
        <v>745</v>
      </c>
      <c r="B194" s="58" t="s">
        <v>797</v>
      </c>
      <c r="C194" s="58" t="s">
        <v>798</v>
      </c>
      <c r="D194" s="58" t="s">
        <v>796</v>
      </c>
      <c r="E194" s="58">
        <v>701161</v>
      </c>
      <c r="F194" s="58">
        <v>5</v>
      </c>
      <c r="G194" s="58">
        <v>106523</v>
      </c>
      <c r="H194" s="69">
        <v>45397</v>
      </c>
      <c r="I194" s="58">
        <v>0.22</v>
      </c>
      <c r="J194" s="58">
        <v>3976804.06</v>
      </c>
    </row>
    <row r="195" spans="1:10" ht="15">
      <c r="A195" s="58" t="s">
        <v>740</v>
      </c>
      <c r="B195" s="58" t="s">
        <v>792</v>
      </c>
      <c r="C195" s="58" t="s">
        <v>799</v>
      </c>
      <c r="D195" s="58" t="s">
        <v>789</v>
      </c>
      <c r="E195" s="58">
        <v>576544</v>
      </c>
      <c r="F195" s="58">
        <v>31</v>
      </c>
      <c r="G195" s="58">
        <v>69871</v>
      </c>
      <c r="H195" s="69">
        <v>45219</v>
      </c>
      <c r="I195" s="58">
        <v>0.44</v>
      </c>
      <c r="J195" s="58">
        <v>2996399.51</v>
      </c>
    </row>
    <row r="196" spans="1:10" ht="15">
      <c r="A196" s="58" t="s">
        <v>746</v>
      </c>
      <c r="B196" s="58" t="s">
        <v>814</v>
      </c>
      <c r="C196" s="58" t="s">
        <v>793</v>
      </c>
      <c r="D196" s="58" t="s">
        <v>812</v>
      </c>
      <c r="E196" s="58">
        <v>1150800</v>
      </c>
      <c r="F196" s="58">
        <v>1</v>
      </c>
      <c r="G196" s="58">
        <v>76717</v>
      </c>
      <c r="H196" s="69">
        <v>44987</v>
      </c>
      <c r="I196" s="58">
        <v>0.18</v>
      </c>
      <c r="J196" s="58">
        <v>3244381.4</v>
      </c>
    </row>
    <row r="197" spans="1:10" ht="15">
      <c r="A197" s="58" t="s">
        <v>747</v>
      </c>
      <c r="B197" s="58" t="s">
        <v>790</v>
      </c>
      <c r="C197" s="58" t="s">
        <v>798</v>
      </c>
      <c r="D197" s="58" t="s">
        <v>800</v>
      </c>
      <c r="E197" s="58">
        <v>4125233</v>
      </c>
      <c r="F197" s="58">
        <v>61</v>
      </c>
      <c r="G197" s="58">
        <v>310145</v>
      </c>
      <c r="H197" s="69">
        <v>45179</v>
      </c>
      <c r="I197" s="58">
        <v>0.35</v>
      </c>
      <c r="J197" s="58">
        <v>2038144.68</v>
      </c>
    </row>
    <row r="198" spans="1:10" ht="15">
      <c r="A198" s="58" t="s">
        <v>740</v>
      </c>
      <c r="B198" s="58" t="s">
        <v>809</v>
      </c>
      <c r="C198" s="58" t="s">
        <v>807</v>
      </c>
      <c r="D198" s="58" t="s">
        <v>789</v>
      </c>
      <c r="E198" s="58">
        <v>932568</v>
      </c>
      <c r="F198" s="58">
        <v>66</v>
      </c>
      <c r="G198" s="58">
        <v>270566</v>
      </c>
      <c r="H198" s="69">
        <v>44945</v>
      </c>
      <c r="I198" s="58">
        <v>0.36</v>
      </c>
      <c r="J198" s="58">
        <v>1778794.65</v>
      </c>
    </row>
    <row r="199" spans="1:10" ht="15">
      <c r="A199" s="58" t="s">
        <v>740</v>
      </c>
      <c r="B199" s="58" t="s">
        <v>809</v>
      </c>
      <c r="C199" s="58" t="s">
        <v>807</v>
      </c>
      <c r="D199" s="58" t="s">
        <v>812</v>
      </c>
      <c r="E199" s="58">
        <v>4050449</v>
      </c>
      <c r="F199" s="58">
        <v>79</v>
      </c>
      <c r="G199" s="58">
        <v>49944</v>
      </c>
      <c r="H199" s="69">
        <v>45424</v>
      </c>
      <c r="I199" s="58">
        <v>0.39</v>
      </c>
      <c r="J199" s="58">
        <v>1135983.78</v>
      </c>
    </row>
    <row r="200" spans="1:10" ht="15">
      <c r="A200" s="58" t="s">
        <v>740</v>
      </c>
      <c r="B200" s="58" t="s">
        <v>814</v>
      </c>
      <c r="C200" s="58" t="s">
        <v>798</v>
      </c>
      <c r="D200" s="58" t="s">
        <v>815</v>
      </c>
      <c r="E200" s="58">
        <v>1724869</v>
      </c>
      <c r="F200" s="58">
        <v>83</v>
      </c>
      <c r="G200" s="58">
        <v>247737</v>
      </c>
      <c r="H200" s="69">
        <v>45512</v>
      </c>
      <c r="I200" s="58">
        <v>0.4</v>
      </c>
      <c r="J200" s="58">
        <v>1270186.3799999999</v>
      </c>
    </row>
    <row r="201" spans="1:10" ht="15">
      <c r="A201" s="58" t="s">
        <v>740</v>
      </c>
      <c r="B201" s="58" t="s">
        <v>792</v>
      </c>
      <c r="C201" s="58" t="s">
        <v>788</v>
      </c>
      <c r="D201" s="58" t="s">
        <v>803</v>
      </c>
      <c r="E201" s="58">
        <v>756838</v>
      </c>
      <c r="F201" s="58">
        <v>8</v>
      </c>
      <c r="G201" s="58">
        <v>77628</v>
      </c>
      <c r="H201" s="69">
        <v>44879</v>
      </c>
      <c r="I201" s="58">
        <v>0.33</v>
      </c>
      <c r="J201" s="58">
        <v>2025637.04</v>
      </c>
    </row>
    <row r="202" spans="1:10" ht="15">
      <c r="A202" s="58" t="s">
        <v>749</v>
      </c>
      <c r="B202" s="58" t="s">
        <v>809</v>
      </c>
      <c r="C202" s="58" t="s">
        <v>798</v>
      </c>
      <c r="D202" s="58" t="s">
        <v>791</v>
      </c>
      <c r="E202" s="58">
        <v>3388381</v>
      </c>
      <c r="F202" s="58">
        <v>19</v>
      </c>
      <c r="G202" s="58">
        <v>403260</v>
      </c>
      <c r="H202" s="69">
        <v>44579</v>
      </c>
      <c r="I202" s="58">
        <v>0.25</v>
      </c>
      <c r="J202" s="58">
        <v>1917910.35</v>
      </c>
    </row>
    <row r="203" spans="1:10" ht="15">
      <c r="A203" s="58" t="s">
        <v>742</v>
      </c>
      <c r="B203" s="58" t="s">
        <v>814</v>
      </c>
      <c r="C203" s="58" t="s">
        <v>809</v>
      </c>
      <c r="D203" s="58" t="s">
        <v>789</v>
      </c>
      <c r="E203" s="58">
        <v>2733274</v>
      </c>
      <c r="F203" s="58">
        <v>55</v>
      </c>
      <c r="G203" s="58">
        <v>239899</v>
      </c>
      <c r="H203" s="69">
        <v>45512</v>
      </c>
      <c r="I203" s="58">
        <v>0.23</v>
      </c>
      <c r="J203" s="58">
        <v>459431.78</v>
      </c>
    </row>
    <row r="204" spans="1:10" ht="15">
      <c r="A204" s="58" t="s">
        <v>740</v>
      </c>
      <c r="B204" s="58" t="s">
        <v>790</v>
      </c>
      <c r="C204" s="58" t="s">
        <v>807</v>
      </c>
      <c r="D204" s="58" t="s">
        <v>803</v>
      </c>
      <c r="E204" s="58">
        <v>3840798</v>
      </c>
      <c r="F204" s="58">
        <v>31</v>
      </c>
      <c r="G204" s="58">
        <v>137690</v>
      </c>
      <c r="H204" s="69">
        <v>45456</v>
      </c>
      <c r="I204" s="58">
        <v>7.0000000000000007E-2</v>
      </c>
      <c r="J204" s="58">
        <v>2175747.21</v>
      </c>
    </row>
    <row r="205" spans="1:10" ht="15">
      <c r="A205" s="58" t="s">
        <v>742</v>
      </c>
      <c r="B205" s="58" t="s">
        <v>802</v>
      </c>
      <c r="C205" s="58" t="s">
        <v>809</v>
      </c>
      <c r="D205" s="58" t="s">
        <v>813</v>
      </c>
      <c r="E205" s="58">
        <v>3748304</v>
      </c>
      <c r="F205" s="58">
        <v>77</v>
      </c>
      <c r="G205" s="58">
        <v>279590</v>
      </c>
      <c r="H205" s="69">
        <v>45368</v>
      </c>
      <c r="I205" s="58">
        <v>0.49</v>
      </c>
      <c r="J205" s="58">
        <v>2698245.48</v>
      </c>
    </row>
    <row r="206" spans="1:10" ht="15">
      <c r="A206" s="58" t="s">
        <v>747</v>
      </c>
      <c r="B206" s="58" t="s">
        <v>804</v>
      </c>
      <c r="C206" s="58" t="s">
        <v>799</v>
      </c>
      <c r="D206" s="58" t="s">
        <v>812</v>
      </c>
      <c r="E206" s="58">
        <v>3075057</v>
      </c>
      <c r="F206" s="58">
        <v>20</v>
      </c>
      <c r="G206" s="58">
        <v>304857</v>
      </c>
      <c r="H206" s="69">
        <v>45115</v>
      </c>
      <c r="I206" s="58">
        <v>0.01</v>
      </c>
      <c r="J206" s="58">
        <v>2892655.41</v>
      </c>
    </row>
    <row r="207" spans="1:10" ht="15">
      <c r="A207" s="55" t="s">
        <v>745</v>
      </c>
      <c r="B207" s="56" t="s">
        <v>792</v>
      </c>
      <c r="C207" s="56" t="s">
        <v>798</v>
      </c>
      <c r="D207" s="56" t="s">
        <v>806</v>
      </c>
      <c r="E207" s="56">
        <v>3204053</v>
      </c>
      <c r="F207" s="56">
        <v>34</v>
      </c>
      <c r="G207" s="56">
        <v>148330</v>
      </c>
      <c r="H207" s="68">
        <v>45332</v>
      </c>
      <c r="I207" s="56">
        <v>0.08</v>
      </c>
      <c r="J207" s="56">
        <v>1205523</v>
      </c>
    </row>
    <row r="208" spans="1:10" ht="15">
      <c r="A208" s="58" t="s">
        <v>748</v>
      </c>
      <c r="B208" s="58" t="s">
        <v>804</v>
      </c>
      <c r="C208" s="58" t="s">
        <v>798</v>
      </c>
      <c r="D208" s="58" t="s">
        <v>812</v>
      </c>
      <c r="E208" s="58">
        <v>4308464</v>
      </c>
      <c r="F208" s="58">
        <v>53</v>
      </c>
      <c r="G208" s="58">
        <v>473148</v>
      </c>
      <c r="H208" s="69">
        <v>45248</v>
      </c>
      <c r="I208" s="58">
        <v>0.1</v>
      </c>
      <c r="J208" s="58">
        <v>2279273.6</v>
      </c>
    </row>
    <row r="209" spans="1:10" ht="15">
      <c r="A209" s="58" t="s">
        <v>744</v>
      </c>
      <c r="B209" s="58" t="s">
        <v>804</v>
      </c>
      <c r="C209" s="58" t="s">
        <v>799</v>
      </c>
      <c r="D209" s="58" t="s">
        <v>796</v>
      </c>
      <c r="E209" s="58">
        <v>4468406</v>
      </c>
      <c r="F209" s="58">
        <v>36</v>
      </c>
      <c r="G209" s="58">
        <v>449510</v>
      </c>
      <c r="H209" s="69">
        <v>44958</v>
      </c>
      <c r="I209" s="58">
        <v>0.37</v>
      </c>
      <c r="J209" s="58">
        <v>231727.5</v>
      </c>
    </row>
    <row r="210" spans="1:10" ht="15">
      <c r="A210" s="58" t="s">
        <v>740</v>
      </c>
      <c r="B210" s="58" t="s">
        <v>787</v>
      </c>
      <c r="C210" s="58" t="s">
        <v>799</v>
      </c>
      <c r="D210" s="58" t="s">
        <v>815</v>
      </c>
      <c r="E210" s="58">
        <v>2540976</v>
      </c>
      <c r="F210" s="58">
        <v>49</v>
      </c>
      <c r="G210" s="58">
        <v>313596</v>
      </c>
      <c r="H210" s="69">
        <v>45326</v>
      </c>
      <c r="I210" s="58">
        <v>0.25</v>
      </c>
      <c r="J210" s="58">
        <v>119252.56</v>
      </c>
    </row>
    <row r="211" spans="1:10" ht="15">
      <c r="A211" s="58" t="s">
        <v>747</v>
      </c>
      <c r="B211" s="58" t="s">
        <v>808</v>
      </c>
      <c r="C211" s="58" t="s">
        <v>788</v>
      </c>
      <c r="D211" s="58" t="s">
        <v>789</v>
      </c>
      <c r="E211" s="58">
        <v>2888943</v>
      </c>
      <c r="F211" s="58">
        <v>25</v>
      </c>
      <c r="G211" s="58">
        <v>392332</v>
      </c>
      <c r="H211" s="69">
        <v>45370</v>
      </c>
      <c r="I211" s="58">
        <v>7.0000000000000007E-2</v>
      </c>
      <c r="J211" s="58">
        <v>1022997.36</v>
      </c>
    </row>
    <row r="212" spans="1:10" ht="15">
      <c r="A212" s="58" t="s">
        <v>743</v>
      </c>
      <c r="B212" s="58" t="s">
        <v>792</v>
      </c>
      <c r="C212" s="58" t="s">
        <v>795</v>
      </c>
      <c r="D212" s="58" t="s">
        <v>813</v>
      </c>
      <c r="E212" s="58">
        <v>4354561</v>
      </c>
      <c r="F212" s="58">
        <v>87</v>
      </c>
      <c r="G212" s="58">
        <v>103614</v>
      </c>
      <c r="H212" s="69">
        <v>45025</v>
      </c>
      <c r="I212" s="58">
        <v>0.08</v>
      </c>
      <c r="J212" s="58">
        <v>2461262.2799999998</v>
      </c>
    </row>
    <row r="213" spans="1:10" ht="15">
      <c r="A213" s="58" t="s">
        <v>747</v>
      </c>
      <c r="B213" s="58" t="s">
        <v>808</v>
      </c>
      <c r="C213" s="58" t="s">
        <v>799</v>
      </c>
      <c r="D213" s="58" t="s">
        <v>813</v>
      </c>
      <c r="E213" s="58">
        <v>4667247</v>
      </c>
      <c r="F213" s="58">
        <v>75</v>
      </c>
      <c r="G213" s="58">
        <v>259304</v>
      </c>
      <c r="H213" s="69">
        <v>45376</v>
      </c>
      <c r="I213" s="58">
        <v>0.16</v>
      </c>
      <c r="J213" s="58">
        <v>538574.67000000004</v>
      </c>
    </row>
    <row r="214" spans="1:10" ht="15">
      <c r="A214" s="58" t="s">
        <v>747</v>
      </c>
      <c r="B214" s="58" t="s">
        <v>814</v>
      </c>
      <c r="C214" s="58" t="s">
        <v>807</v>
      </c>
      <c r="D214" s="58" t="s">
        <v>811</v>
      </c>
      <c r="E214" s="58">
        <v>3348471</v>
      </c>
      <c r="F214" s="58">
        <v>32</v>
      </c>
      <c r="G214" s="58">
        <v>379528</v>
      </c>
      <c r="H214" s="69">
        <v>45308</v>
      </c>
      <c r="I214" s="58">
        <v>0.35</v>
      </c>
      <c r="J214" s="58">
        <v>3423226.56</v>
      </c>
    </row>
    <row r="215" spans="1:10" ht="15">
      <c r="A215" s="58" t="s">
        <v>747</v>
      </c>
      <c r="B215" s="58" t="s">
        <v>797</v>
      </c>
      <c r="C215" s="58" t="s">
        <v>788</v>
      </c>
      <c r="D215" s="58" t="s">
        <v>796</v>
      </c>
      <c r="E215" s="58">
        <v>2258996</v>
      </c>
      <c r="F215" s="58">
        <v>57</v>
      </c>
      <c r="G215" s="58">
        <v>226752</v>
      </c>
      <c r="H215" s="69">
        <v>45064</v>
      </c>
      <c r="I215" s="58">
        <v>0.04</v>
      </c>
      <c r="J215" s="58">
        <v>2019543.96</v>
      </c>
    </row>
    <row r="216" spans="1:10" ht="15">
      <c r="A216" s="58" t="s">
        <v>747</v>
      </c>
      <c r="B216" s="58" t="s">
        <v>804</v>
      </c>
      <c r="C216" s="58" t="s">
        <v>809</v>
      </c>
      <c r="D216" s="58" t="s">
        <v>803</v>
      </c>
      <c r="E216" s="58">
        <v>372076</v>
      </c>
      <c r="F216" s="58">
        <v>62</v>
      </c>
      <c r="G216" s="58">
        <v>144802</v>
      </c>
      <c r="H216" s="69">
        <v>44734</v>
      </c>
      <c r="I216" s="58">
        <v>0.45</v>
      </c>
      <c r="J216" s="58">
        <v>1077013.21</v>
      </c>
    </row>
    <row r="217" spans="1:10" ht="15">
      <c r="A217" s="58" t="s">
        <v>741</v>
      </c>
      <c r="B217" s="58" t="s">
        <v>790</v>
      </c>
      <c r="C217" s="58" t="s">
        <v>799</v>
      </c>
      <c r="D217" s="58" t="s">
        <v>806</v>
      </c>
      <c r="E217" s="58">
        <v>4963232</v>
      </c>
      <c r="F217" s="58">
        <v>46</v>
      </c>
      <c r="G217" s="58">
        <v>162387</v>
      </c>
      <c r="H217" s="69">
        <v>44658</v>
      </c>
      <c r="I217" s="58">
        <v>0.36</v>
      </c>
      <c r="J217" s="58">
        <v>1147511.94</v>
      </c>
    </row>
    <row r="218" spans="1:10" ht="15">
      <c r="A218" s="58" t="s">
        <v>749</v>
      </c>
      <c r="B218" s="58" t="s">
        <v>790</v>
      </c>
      <c r="C218" s="58" t="s">
        <v>799</v>
      </c>
      <c r="D218" s="58" t="s">
        <v>812</v>
      </c>
      <c r="E218" s="58">
        <v>2739040</v>
      </c>
      <c r="F218" s="58">
        <v>9</v>
      </c>
      <c r="G218" s="58">
        <v>262216</v>
      </c>
      <c r="H218" s="69">
        <v>44994</v>
      </c>
      <c r="I218" s="58">
        <v>0.21</v>
      </c>
      <c r="J218" s="58">
        <v>2547510</v>
      </c>
    </row>
    <row r="219" spans="1:10" ht="15">
      <c r="A219" s="58" t="s">
        <v>748</v>
      </c>
      <c r="B219" s="58" t="s">
        <v>809</v>
      </c>
      <c r="C219" s="58" t="s">
        <v>799</v>
      </c>
      <c r="D219" s="58" t="s">
        <v>806</v>
      </c>
      <c r="E219" s="58">
        <v>2782289</v>
      </c>
      <c r="F219" s="58">
        <v>74</v>
      </c>
      <c r="G219" s="58">
        <v>314450</v>
      </c>
      <c r="H219" s="69">
        <v>45483</v>
      </c>
      <c r="I219" s="58">
        <v>0.21</v>
      </c>
      <c r="J219" s="58">
        <v>2872604.68</v>
      </c>
    </row>
    <row r="220" spans="1:10" ht="15">
      <c r="A220" s="58" t="s">
        <v>740</v>
      </c>
      <c r="B220" s="58" t="s">
        <v>790</v>
      </c>
      <c r="C220" s="58" t="s">
        <v>798</v>
      </c>
      <c r="D220" s="58" t="s">
        <v>791</v>
      </c>
      <c r="E220" s="58">
        <v>1880985</v>
      </c>
      <c r="F220" s="58">
        <v>45</v>
      </c>
      <c r="G220" s="58">
        <v>374709</v>
      </c>
      <c r="H220" s="69">
        <v>45391</v>
      </c>
      <c r="I220" s="58">
        <v>0.03</v>
      </c>
      <c r="J220" s="58">
        <v>1250858.24</v>
      </c>
    </row>
    <row r="221" spans="1:10" ht="15">
      <c r="A221" s="58" t="s">
        <v>747</v>
      </c>
      <c r="B221" s="58" t="s">
        <v>809</v>
      </c>
      <c r="C221" s="58" t="s">
        <v>799</v>
      </c>
      <c r="D221" s="58" t="s">
        <v>796</v>
      </c>
      <c r="E221" s="58">
        <v>4206889</v>
      </c>
      <c r="F221" s="58">
        <v>23</v>
      </c>
      <c r="G221" s="58">
        <v>457614</v>
      </c>
      <c r="H221" s="69">
        <v>44768</v>
      </c>
      <c r="I221" s="58">
        <v>0.05</v>
      </c>
      <c r="J221" s="58">
        <v>3492894.79</v>
      </c>
    </row>
    <row r="222" spans="1:10" ht="15">
      <c r="A222" s="58" t="s">
        <v>749</v>
      </c>
      <c r="B222" s="58" t="s">
        <v>797</v>
      </c>
      <c r="C222" s="58" t="s">
        <v>798</v>
      </c>
      <c r="D222" s="58" t="s">
        <v>813</v>
      </c>
      <c r="E222" s="58">
        <v>543779</v>
      </c>
      <c r="F222" s="58">
        <v>58</v>
      </c>
      <c r="G222" s="58">
        <v>259550</v>
      </c>
      <c r="H222" s="69">
        <v>45196</v>
      </c>
      <c r="I222" s="58">
        <v>0.25</v>
      </c>
      <c r="J222" s="58">
        <v>591215.31000000006</v>
      </c>
    </row>
    <row r="223" spans="1:10" ht="15">
      <c r="A223" s="58" t="s">
        <v>742</v>
      </c>
      <c r="B223" s="58" t="s">
        <v>804</v>
      </c>
      <c r="C223" s="58" t="s">
        <v>798</v>
      </c>
      <c r="D223" s="58" t="s">
        <v>796</v>
      </c>
      <c r="E223" s="58">
        <v>580350</v>
      </c>
      <c r="F223" s="58">
        <v>100</v>
      </c>
      <c r="G223" s="58">
        <v>354932</v>
      </c>
      <c r="H223" s="69">
        <v>44915</v>
      </c>
      <c r="I223" s="58">
        <v>0.32</v>
      </c>
      <c r="J223" s="58">
        <v>2056800.35</v>
      </c>
    </row>
    <row r="224" spans="1:10" ht="15">
      <c r="A224" s="58" t="s">
        <v>749</v>
      </c>
      <c r="B224" s="58" t="s">
        <v>814</v>
      </c>
      <c r="C224" s="58" t="s">
        <v>809</v>
      </c>
      <c r="D224" s="58" t="s">
        <v>791</v>
      </c>
      <c r="E224" s="58">
        <v>172486</v>
      </c>
      <c r="F224" s="58">
        <v>14</v>
      </c>
      <c r="G224" s="58">
        <v>15449</v>
      </c>
      <c r="H224" s="69">
        <v>45147</v>
      </c>
      <c r="I224" s="58">
        <v>0.13</v>
      </c>
      <c r="J224" s="58">
        <v>3966066.95</v>
      </c>
    </row>
    <row r="225" spans="1:10" ht="15">
      <c r="A225" s="58" t="s">
        <v>748</v>
      </c>
      <c r="B225" s="58" t="s">
        <v>802</v>
      </c>
      <c r="C225" s="58" t="s">
        <v>809</v>
      </c>
      <c r="D225" s="58" t="s">
        <v>796</v>
      </c>
      <c r="E225" s="58">
        <v>2401191</v>
      </c>
      <c r="F225" s="58">
        <v>81</v>
      </c>
      <c r="G225" s="58">
        <v>34648</v>
      </c>
      <c r="H225" s="69">
        <v>45525</v>
      </c>
      <c r="I225" s="58">
        <v>0.28000000000000003</v>
      </c>
      <c r="J225" s="58">
        <v>764790.6</v>
      </c>
    </row>
    <row r="226" spans="1:10" ht="15">
      <c r="A226" s="58" t="s">
        <v>740</v>
      </c>
      <c r="B226" s="58" t="s">
        <v>808</v>
      </c>
      <c r="C226" s="58" t="s">
        <v>799</v>
      </c>
      <c r="D226" s="58" t="s">
        <v>789</v>
      </c>
      <c r="E226" s="58">
        <v>4370392</v>
      </c>
      <c r="F226" s="58">
        <v>92</v>
      </c>
      <c r="G226" s="58">
        <v>183985</v>
      </c>
      <c r="H226" s="69">
        <v>45549</v>
      </c>
      <c r="I226" s="58">
        <v>0.18</v>
      </c>
      <c r="J226" s="58">
        <v>2541473.5499999998</v>
      </c>
    </row>
    <row r="227" spans="1:10" ht="15">
      <c r="A227" s="58" t="s">
        <v>744</v>
      </c>
      <c r="B227" s="58" t="s">
        <v>808</v>
      </c>
      <c r="C227" s="58" t="s">
        <v>809</v>
      </c>
      <c r="D227" s="58" t="s">
        <v>791</v>
      </c>
      <c r="E227" s="58">
        <v>1987570</v>
      </c>
      <c r="F227" s="58">
        <v>16</v>
      </c>
      <c r="G227" s="58">
        <v>291023</v>
      </c>
      <c r="H227" s="69">
        <v>44781</v>
      </c>
      <c r="I227" s="58">
        <v>0.46</v>
      </c>
      <c r="J227" s="58">
        <v>2114277</v>
      </c>
    </row>
    <row r="228" spans="1:10" ht="15">
      <c r="A228" s="58" t="s">
        <v>745</v>
      </c>
      <c r="B228" s="58" t="s">
        <v>792</v>
      </c>
      <c r="C228" s="58" t="s">
        <v>793</v>
      </c>
      <c r="D228" s="58" t="s">
        <v>811</v>
      </c>
      <c r="E228" s="58">
        <v>4728603</v>
      </c>
      <c r="F228" s="58">
        <v>30</v>
      </c>
      <c r="G228" s="58">
        <v>426733</v>
      </c>
      <c r="H228" s="69">
        <v>44953</v>
      </c>
      <c r="I228" s="58">
        <v>0.11</v>
      </c>
      <c r="J228" s="58">
        <v>3135557.52</v>
      </c>
    </row>
    <row r="229" spans="1:10" ht="15">
      <c r="A229" s="58" t="s">
        <v>748</v>
      </c>
      <c r="B229" s="58" t="s">
        <v>809</v>
      </c>
      <c r="C229" s="58" t="s">
        <v>799</v>
      </c>
      <c r="D229" s="58" t="s">
        <v>811</v>
      </c>
      <c r="E229" s="58">
        <v>3480955</v>
      </c>
      <c r="F229" s="58">
        <v>53</v>
      </c>
      <c r="G229" s="58">
        <v>4480</v>
      </c>
      <c r="H229" s="69">
        <v>45088</v>
      </c>
      <c r="I229" s="58">
        <v>0.05</v>
      </c>
      <c r="J229" s="58">
        <v>1455825.59</v>
      </c>
    </row>
    <row r="230" spans="1:10" ht="15">
      <c r="A230" s="58" t="s">
        <v>749</v>
      </c>
      <c r="B230" s="58" t="s">
        <v>802</v>
      </c>
      <c r="C230" s="58" t="s">
        <v>809</v>
      </c>
      <c r="D230" s="58" t="s">
        <v>789</v>
      </c>
      <c r="E230" s="58">
        <v>3651734</v>
      </c>
      <c r="F230" s="58">
        <v>100</v>
      </c>
      <c r="G230" s="58">
        <v>78820</v>
      </c>
      <c r="H230" s="69">
        <v>45614</v>
      </c>
      <c r="I230" s="58">
        <v>0.39</v>
      </c>
      <c r="J230" s="58">
        <v>376282.65</v>
      </c>
    </row>
    <row r="231" spans="1:10" ht="15">
      <c r="A231" s="58" t="s">
        <v>741</v>
      </c>
      <c r="B231" s="58" t="s">
        <v>808</v>
      </c>
      <c r="C231" s="58" t="s">
        <v>807</v>
      </c>
      <c r="D231" s="58" t="s">
        <v>815</v>
      </c>
      <c r="E231" s="58">
        <v>1649124</v>
      </c>
      <c r="F231" s="58">
        <v>71</v>
      </c>
      <c r="G231" s="58">
        <v>135593</v>
      </c>
      <c r="H231" s="69">
        <v>45142</v>
      </c>
      <c r="I231" s="58">
        <v>0.47</v>
      </c>
      <c r="J231" s="58">
        <v>2791579.05</v>
      </c>
    </row>
    <row r="232" spans="1:10" ht="15">
      <c r="A232" s="58" t="s">
        <v>746</v>
      </c>
      <c r="B232" s="58" t="s">
        <v>809</v>
      </c>
      <c r="C232" s="58" t="s">
        <v>798</v>
      </c>
      <c r="D232" s="58" t="s">
        <v>805</v>
      </c>
      <c r="E232" s="58">
        <v>554685</v>
      </c>
      <c r="F232" s="58">
        <v>42</v>
      </c>
      <c r="G232" s="58">
        <v>146035</v>
      </c>
      <c r="H232" s="69">
        <v>45256</v>
      </c>
      <c r="I232" s="58">
        <v>0.11</v>
      </c>
      <c r="J232" s="58">
        <v>1705995.9</v>
      </c>
    </row>
    <row r="233" spans="1:10" ht="15">
      <c r="A233" s="58" t="s">
        <v>746</v>
      </c>
      <c r="B233" s="58" t="s">
        <v>787</v>
      </c>
      <c r="C233" s="58" t="s">
        <v>807</v>
      </c>
      <c r="D233" s="58" t="s">
        <v>815</v>
      </c>
      <c r="E233" s="58">
        <v>2701624</v>
      </c>
      <c r="F233" s="58">
        <v>50</v>
      </c>
      <c r="G233" s="58">
        <v>204157</v>
      </c>
      <c r="H233" s="69">
        <v>45188</v>
      </c>
      <c r="I233" s="58">
        <v>0.26</v>
      </c>
      <c r="J233" s="58">
        <v>1007207.76</v>
      </c>
    </row>
    <row r="234" spans="1:10" ht="15">
      <c r="A234" s="58" t="s">
        <v>747</v>
      </c>
      <c r="B234" s="58" t="s">
        <v>790</v>
      </c>
      <c r="C234" s="58" t="s">
        <v>809</v>
      </c>
      <c r="D234" s="58" t="s">
        <v>803</v>
      </c>
      <c r="E234" s="58">
        <v>4098837</v>
      </c>
      <c r="F234" s="58">
        <v>71</v>
      </c>
      <c r="G234" s="58">
        <v>48966</v>
      </c>
      <c r="H234" s="69">
        <v>45353</v>
      </c>
      <c r="I234" s="58">
        <v>0.43</v>
      </c>
      <c r="J234" s="58">
        <v>2689965.46</v>
      </c>
    </row>
    <row r="235" spans="1:10" ht="15">
      <c r="A235" s="58" t="s">
        <v>740</v>
      </c>
      <c r="B235" s="58" t="s">
        <v>787</v>
      </c>
      <c r="C235" s="58" t="s">
        <v>793</v>
      </c>
      <c r="D235" s="58" t="s">
        <v>812</v>
      </c>
      <c r="E235" s="58">
        <v>101128</v>
      </c>
      <c r="F235" s="58">
        <v>20</v>
      </c>
      <c r="G235" s="58">
        <v>451547</v>
      </c>
      <c r="H235" s="69">
        <v>44961</v>
      </c>
      <c r="I235" s="58">
        <v>0.37</v>
      </c>
      <c r="J235" s="58">
        <v>808972.78</v>
      </c>
    </row>
    <row r="236" spans="1:10" ht="15">
      <c r="A236" s="58" t="s">
        <v>745</v>
      </c>
      <c r="B236" s="58" t="s">
        <v>794</v>
      </c>
      <c r="C236" s="58" t="s">
        <v>793</v>
      </c>
      <c r="D236" s="58" t="s">
        <v>800</v>
      </c>
      <c r="E236" s="58">
        <v>3492735</v>
      </c>
      <c r="F236" s="58">
        <v>10</v>
      </c>
      <c r="G236" s="58">
        <v>210134</v>
      </c>
      <c r="H236" s="69">
        <v>44632</v>
      </c>
      <c r="I236" s="58">
        <v>0.23</v>
      </c>
      <c r="J236" s="58">
        <v>1331661.1299999999</v>
      </c>
    </row>
    <row r="237" spans="1:10" ht="15">
      <c r="A237" s="58" t="s">
        <v>743</v>
      </c>
      <c r="B237" s="58" t="s">
        <v>792</v>
      </c>
      <c r="C237" s="58" t="s">
        <v>798</v>
      </c>
      <c r="D237" s="58" t="s">
        <v>805</v>
      </c>
      <c r="E237" s="58">
        <v>2778159</v>
      </c>
      <c r="F237" s="58">
        <v>86</v>
      </c>
      <c r="G237" s="58">
        <v>445810</v>
      </c>
      <c r="H237" s="69">
        <v>44862</v>
      </c>
      <c r="I237" s="58">
        <v>0.19</v>
      </c>
      <c r="J237" s="58">
        <v>369509.76</v>
      </c>
    </row>
    <row r="238" spans="1:10" ht="15">
      <c r="A238" s="58" t="s">
        <v>749</v>
      </c>
      <c r="B238" s="58" t="s">
        <v>792</v>
      </c>
      <c r="C238" s="58" t="s">
        <v>809</v>
      </c>
      <c r="D238" s="58" t="s">
        <v>806</v>
      </c>
      <c r="E238" s="58">
        <v>3861854</v>
      </c>
      <c r="F238" s="58">
        <v>35</v>
      </c>
      <c r="G238" s="58">
        <v>297943</v>
      </c>
      <c r="H238" s="69">
        <v>44717</v>
      </c>
      <c r="I238" s="58">
        <v>0.43</v>
      </c>
      <c r="J238" s="58">
        <v>3271492.8</v>
      </c>
    </row>
    <row r="239" spans="1:10" ht="15">
      <c r="A239" s="58" t="s">
        <v>743</v>
      </c>
      <c r="B239" s="58" t="s">
        <v>802</v>
      </c>
      <c r="C239" s="58" t="s">
        <v>807</v>
      </c>
      <c r="D239" s="58" t="s">
        <v>796</v>
      </c>
      <c r="E239" s="58">
        <v>1521665</v>
      </c>
      <c r="F239" s="58">
        <v>39</v>
      </c>
      <c r="G239" s="58">
        <v>166513</v>
      </c>
      <c r="H239" s="69">
        <v>45021</v>
      </c>
      <c r="I239" s="58">
        <v>0.3</v>
      </c>
      <c r="J239" s="58">
        <v>3663117.02</v>
      </c>
    </row>
    <row r="240" spans="1:10" ht="15">
      <c r="A240" s="58" t="s">
        <v>741</v>
      </c>
      <c r="B240" s="58" t="s">
        <v>787</v>
      </c>
      <c r="C240" s="58" t="s">
        <v>807</v>
      </c>
      <c r="D240" s="58" t="s">
        <v>803</v>
      </c>
      <c r="E240" s="58">
        <v>2940690</v>
      </c>
      <c r="F240" s="58">
        <v>2</v>
      </c>
      <c r="G240" s="58">
        <v>454321</v>
      </c>
      <c r="H240" s="69">
        <v>45331</v>
      </c>
      <c r="I240" s="58">
        <v>0.32</v>
      </c>
      <c r="J240" s="58">
        <v>1569765.78</v>
      </c>
    </row>
    <row r="241" spans="1:10" ht="15">
      <c r="A241" s="58" t="s">
        <v>744</v>
      </c>
      <c r="B241" s="58" t="s">
        <v>802</v>
      </c>
      <c r="C241" s="58" t="s">
        <v>799</v>
      </c>
      <c r="D241" s="58" t="s">
        <v>796</v>
      </c>
      <c r="E241" s="58">
        <v>1487846</v>
      </c>
      <c r="F241" s="58">
        <v>83</v>
      </c>
      <c r="G241" s="58">
        <v>134281</v>
      </c>
      <c r="H241" s="69">
        <v>44986</v>
      </c>
      <c r="I241" s="58">
        <v>0.3</v>
      </c>
      <c r="J241" s="58">
        <v>213210.72</v>
      </c>
    </row>
    <row r="242" spans="1:10" ht="15">
      <c r="A242" s="58" t="s">
        <v>749</v>
      </c>
      <c r="B242" s="58" t="s">
        <v>787</v>
      </c>
      <c r="C242" s="58" t="s">
        <v>799</v>
      </c>
      <c r="D242" s="58" t="s">
        <v>812</v>
      </c>
      <c r="E242" s="58">
        <v>2851741</v>
      </c>
      <c r="F242" s="58">
        <v>30</v>
      </c>
      <c r="G242" s="58">
        <v>95123</v>
      </c>
      <c r="H242" s="69">
        <v>45021</v>
      </c>
      <c r="I242" s="58">
        <v>0.37</v>
      </c>
      <c r="J242" s="58">
        <v>1736967.84</v>
      </c>
    </row>
    <row r="243" spans="1:10" ht="15">
      <c r="A243" s="58" t="s">
        <v>747</v>
      </c>
      <c r="B243" s="58" t="s">
        <v>797</v>
      </c>
      <c r="C243" s="58" t="s">
        <v>798</v>
      </c>
      <c r="D243" s="58" t="s">
        <v>791</v>
      </c>
      <c r="E243" s="58">
        <v>4203791</v>
      </c>
      <c r="F243" s="58">
        <v>35</v>
      </c>
      <c r="G243" s="58">
        <v>457457</v>
      </c>
      <c r="H243" s="69">
        <v>44784</v>
      </c>
      <c r="I243" s="58">
        <v>0.34</v>
      </c>
      <c r="J243" s="58">
        <v>4839702.12</v>
      </c>
    </row>
    <row r="244" spans="1:10" ht="15">
      <c r="A244" s="58" t="s">
        <v>744</v>
      </c>
      <c r="B244" s="58" t="s">
        <v>792</v>
      </c>
      <c r="C244" s="58" t="s">
        <v>798</v>
      </c>
      <c r="D244" s="58" t="s">
        <v>791</v>
      </c>
      <c r="E244" s="58">
        <v>54986</v>
      </c>
      <c r="F244" s="58">
        <v>66</v>
      </c>
      <c r="G244" s="58">
        <v>284447</v>
      </c>
      <c r="H244" s="69">
        <v>45020</v>
      </c>
      <c r="I244" s="58">
        <v>0.35</v>
      </c>
      <c r="J244" s="58">
        <v>1075175.3999999999</v>
      </c>
    </row>
    <row r="245" spans="1:10" ht="15">
      <c r="A245" s="58" t="s">
        <v>743</v>
      </c>
      <c r="B245" s="58" t="s">
        <v>808</v>
      </c>
      <c r="C245" s="58" t="s">
        <v>799</v>
      </c>
      <c r="D245" s="58" t="s">
        <v>789</v>
      </c>
      <c r="E245" s="58">
        <v>77361</v>
      </c>
      <c r="F245" s="58">
        <v>86</v>
      </c>
      <c r="G245" s="58">
        <v>418054</v>
      </c>
      <c r="H245" s="69">
        <v>44737</v>
      </c>
      <c r="I245" s="58">
        <v>0.49</v>
      </c>
      <c r="J245" s="58">
        <v>2529245.88</v>
      </c>
    </row>
    <row r="246" spans="1:10" ht="15">
      <c r="A246" s="58" t="s">
        <v>744</v>
      </c>
      <c r="B246" s="58" t="s">
        <v>804</v>
      </c>
      <c r="C246" s="58" t="s">
        <v>788</v>
      </c>
      <c r="D246" s="58" t="s">
        <v>812</v>
      </c>
      <c r="E246" s="58">
        <v>2547269</v>
      </c>
      <c r="F246" s="58">
        <v>21</v>
      </c>
      <c r="G246" s="58">
        <v>402349</v>
      </c>
      <c r="H246" s="69">
        <v>45269</v>
      </c>
      <c r="I246" s="58">
        <v>0.28000000000000003</v>
      </c>
      <c r="J246" s="58">
        <v>406192.16</v>
      </c>
    </row>
    <row r="247" spans="1:10" ht="15">
      <c r="A247" s="58" t="s">
        <v>741</v>
      </c>
      <c r="B247" s="58" t="s">
        <v>814</v>
      </c>
      <c r="C247" s="58" t="s">
        <v>798</v>
      </c>
      <c r="D247" s="58" t="s">
        <v>796</v>
      </c>
      <c r="E247" s="58">
        <v>2980550</v>
      </c>
      <c r="F247" s="58">
        <v>9</v>
      </c>
      <c r="G247" s="58">
        <v>160061</v>
      </c>
      <c r="H247" s="69">
        <v>45619</v>
      </c>
      <c r="I247" s="58">
        <v>0.47</v>
      </c>
      <c r="J247" s="58">
        <v>95482.17</v>
      </c>
    </row>
    <row r="248" spans="1:10" ht="15">
      <c r="A248" s="58" t="s">
        <v>743</v>
      </c>
      <c r="B248" s="58" t="s">
        <v>794</v>
      </c>
      <c r="C248" s="58" t="s">
        <v>809</v>
      </c>
      <c r="D248" s="58" t="s">
        <v>791</v>
      </c>
      <c r="E248" s="58">
        <v>2828765</v>
      </c>
      <c r="F248" s="58">
        <v>18</v>
      </c>
      <c r="G248" s="58">
        <v>207293</v>
      </c>
      <c r="H248" s="69">
        <v>45124</v>
      </c>
      <c r="I248" s="58">
        <v>0.42</v>
      </c>
      <c r="J248" s="58">
        <v>2926320.54</v>
      </c>
    </row>
    <row r="249" spans="1:10" ht="15">
      <c r="A249" s="58" t="s">
        <v>740</v>
      </c>
      <c r="B249" s="58" t="s">
        <v>808</v>
      </c>
      <c r="C249" s="58" t="s">
        <v>799</v>
      </c>
      <c r="D249" s="58" t="s">
        <v>791</v>
      </c>
      <c r="E249" s="58">
        <v>2010872</v>
      </c>
      <c r="F249" s="58">
        <v>12</v>
      </c>
      <c r="G249" s="58">
        <v>120532</v>
      </c>
      <c r="H249" s="69">
        <v>45378</v>
      </c>
      <c r="I249" s="58">
        <v>0.22</v>
      </c>
      <c r="J249" s="58">
        <v>1328824.6399999999</v>
      </c>
    </row>
    <row r="250" spans="1:10" ht="15">
      <c r="A250" s="58" t="s">
        <v>744</v>
      </c>
      <c r="B250" s="58" t="s">
        <v>787</v>
      </c>
      <c r="C250" s="58" t="s">
        <v>807</v>
      </c>
      <c r="D250" s="58" t="s">
        <v>789</v>
      </c>
      <c r="E250" s="58">
        <v>749120</v>
      </c>
      <c r="F250" s="58">
        <v>34</v>
      </c>
      <c r="G250" s="58">
        <v>147034</v>
      </c>
      <c r="H250" s="69">
        <v>44817</v>
      </c>
      <c r="I250" s="58">
        <v>0.32</v>
      </c>
      <c r="J250" s="58">
        <v>3155905.2</v>
      </c>
    </row>
    <row r="251" spans="1:10" ht="15">
      <c r="A251" s="58" t="s">
        <v>748</v>
      </c>
      <c r="B251" s="58" t="s">
        <v>804</v>
      </c>
      <c r="C251" s="58" t="s">
        <v>793</v>
      </c>
      <c r="D251" s="58" t="s">
        <v>813</v>
      </c>
      <c r="E251" s="58">
        <v>3070010</v>
      </c>
      <c r="F251" s="58">
        <v>68</v>
      </c>
      <c r="G251" s="58">
        <v>289488</v>
      </c>
      <c r="H251" s="69">
        <v>45406</v>
      </c>
      <c r="I251" s="58">
        <v>7.0000000000000007E-2</v>
      </c>
      <c r="J251" s="58">
        <v>333566.82</v>
      </c>
    </row>
    <row r="252" spans="1:10" ht="15">
      <c r="A252" s="58" t="s">
        <v>745</v>
      </c>
      <c r="B252" s="58" t="s">
        <v>804</v>
      </c>
      <c r="C252" s="58" t="s">
        <v>809</v>
      </c>
      <c r="D252" s="58" t="s">
        <v>801</v>
      </c>
      <c r="E252" s="58">
        <v>3250834</v>
      </c>
      <c r="F252" s="58">
        <v>92</v>
      </c>
      <c r="G252" s="58">
        <v>4420</v>
      </c>
      <c r="H252" s="69">
        <v>44707</v>
      </c>
      <c r="I252" s="58">
        <v>0.45</v>
      </c>
      <c r="J252" s="58">
        <v>1705527.51</v>
      </c>
    </row>
    <row r="253" spans="1:10" ht="15">
      <c r="A253" s="58" t="s">
        <v>746</v>
      </c>
      <c r="B253" s="58" t="s">
        <v>787</v>
      </c>
      <c r="C253" s="58" t="s">
        <v>809</v>
      </c>
      <c r="D253" s="58" t="s">
        <v>789</v>
      </c>
      <c r="E253" s="58">
        <v>4120807</v>
      </c>
      <c r="F253" s="58">
        <v>61</v>
      </c>
      <c r="G253" s="58">
        <v>121998</v>
      </c>
      <c r="H253" s="69">
        <v>44819</v>
      </c>
      <c r="I253" s="58">
        <v>7.0000000000000007E-2</v>
      </c>
      <c r="J253" s="58">
        <v>2305815.35</v>
      </c>
    </row>
    <row r="254" spans="1:10" ht="15">
      <c r="A254" s="58" t="s">
        <v>742</v>
      </c>
      <c r="B254" s="58" t="s">
        <v>804</v>
      </c>
      <c r="C254" s="58" t="s">
        <v>799</v>
      </c>
      <c r="D254" s="58" t="s">
        <v>811</v>
      </c>
      <c r="E254" s="58">
        <v>289940</v>
      </c>
      <c r="F254" s="58">
        <v>74</v>
      </c>
      <c r="G254" s="58">
        <v>423539</v>
      </c>
      <c r="H254" s="69">
        <v>45585</v>
      </c>
      <c r="I254" s="58">
        <v>0.18</v>
      </c>
      <c r="J254" s="58">
        <v>3668011.2</v>
      </c>
    </row>
    <row r="255" spans="1:10" ht="15">
      <c r="A255" s="58" t="s">
        <v>742</v>
      </c>
      <c r="B255" s="58" t="s">
        <v>808</v>
      </c>
      <c r="C255" s="58" t="s">
        <v>799</v>
      </c>
      <c r="D255" s="58" t="s">
        <v>811</v>
      </c>
      <c r="E255" s="58">
        <v>2532811</v>
      </c>
      <c r="F255" s="58">
        <v>36</v>
      </c>
      <c r="G255" s="58">
        <v>430072</v>
      </c>
      <c r="H255" s="69">
        <v>44906</v>
      </c>
      <c r="I255" s="58">
        <v>0.1</v>
      </c>
      <c r="J255" s="58">
        <v>888052.41</v>
      </c>
    </row>
    <row r="256" spans="1:10" ht="15">
      <c r="A256" s="58" t="s">
        <v>740</v>
      </c>
      <c r="B256" s="58" t="s">
        <v>802</v>
      </c>
      <c r="C256" s="58" t="s">
        <v>809</v>
      </c>
      <c r="D256" s="58" t="s">
        <v>810</v>
      </c>
      <c r="E256" s="58">
        <v>2861520</v>
      </c>
      <c r="F256" s="58">
        <v>32</v>
      </c>
      <c r="G256" s="58">
        <v>314353</v>
      </c>
      <c r="H256" s="69">
        <v>45027</v>
      </c>
      <c r="I256" s="58">
        <v>0.36</v>
      </c>
      <c r="J256" s="58">
        <v>4295789.04</v>
      </c>
    </row>
    <row r="257" spans="1:10" ht="15">
      <c r="A257" s="58" t="s">
        <v>742</v>
      </c>
      <c r="B257" s="58" t="s">
        <v>809</v>
      </c>
      <c r="C257" s="58" t="s">
        <v>809</v>
      </c>
      <c r="D257" s="58" t="s">
        <v>805</v>
      </c>
      <c r="E257" s="58">
        <v>2865648</v>
      </c>
      <c r="F257" s="58">
        <v>24</v>
      </c>
      <c r="G257" s="58">
        <v>176041</v>
      </c>
      <c r="H257" s="69">
        <v>44787</v>
      </c>
      <c r="I257" s="58">
        <v>0.18</v>
      </c>
      <c r="J257" s="58">
        <v>3086756.19</v>
      </c>
    </row>
    <row r="258" spans="1:10" ht="15">
      <c r="A258" s="55" t="s">
        <v>741</v>
      </c>
      <c r="B258" s="56" t="s">
        <v>808</v>
      </c>
      <c r="C258" s="56" t="s">
        <v>788</v>
      </c>
      <c r="D258" s="56" t="s">
        <v>800</v>
      </c>
      <c r="E258" s="56">
        <v>4375081</v>
      </c>
      <c r="F258" s="56">
        <v>43</v>
      </c>
      <c r="G258" s="56">
        <v>1416</v>
      </c>
      <c r="H258" s="68">
        <v>44764</v>
      </c>
      <c r="I258" s="56">
        <v>0.49</v>
      </c>
      <c r="J258" s="56">
        <v>2940991.29</v>
      </c>
    </row>
    <row r="259" spans="1:10" ht="15">
      <c r="A259" s="58" t="s">
        <v>742</v>
      </c>
      <c r="B259" s="58" t="s">
        <v>787</v>
      </c>
      <c r="C259" s="58" t="s">
        <v>798</v>
      </c>
      <c r="D259" s="58" t="s">
        <v>796</v>
      </c>
      <c r="E259" s="58">
        <v>3146380</v>
      </c>
      <c r="F259" s="58">
        <v>91</v>
      </c>
      <c r="G259" s="58">
        <v>203259</v>
      </c>
      <c r="H259" s="69">
        <v>45095</v>
      </c>
      <c r="I259" s="58">
        <v>0.24</v>
      </c>
      <c r="J259" s="58">
        <v>2308556.67</v>
      </c>
    </row>
    <row r="260" spans="1:10" ht="15">
      <c r="A260" s="58" t="s">
        <v>748</v>
      </c>
      <c r="B260" s="58" t="s">
        <v>809</v>
      </c>
      <c r="C260" s="58" t="s">
        <v>798</v>
      </c>
      <c r="D260" s="58" t="s">
        <v>813</v>
      </c>
      <c r="E260" s="58">
        <v>2177769</v>
      </c>
      <c r="F260" s="58">
        <v>78</v>
      </c>
      <c r="G260" s="58">
        <v>226686</v>
      </c>
      <c r="H260" s="69">
        <v>45060</v>
      </c>
      <c r="I260" s="58">
        <v>0.49</v>
      </c>
      <c r="J260" s="58">
        <v>900541.48</v>
      </c>
    </row>
    <row r="261" spans="1:10" ht="15">
      <c r="A261" s="58" t="s">
        <v>748</v>
      </c>
      <c r="B261" s="58" t="s">
        <v>794</v>
      </c>
      <c r="C261" s="58" t="s">
        <v>788</v>
      </c>
      <c r="D261" s="58" t="s">
        <v>805</v>
      </c>
      <c r="E261" s="58">
        <v>3645192</v>
      </c>
      <c r="F261" s="58">
        <v>94</v>
      </c>
      <c r="G261" s="58">
        <v>291961</v>
      </c>
      <c r="H261" s="69">
        <v>45248</v>
      </c>
      <c r="I261" s="58">
        <v>0.28999999999999998</v>
      </c>
      <c r="J261" s="58">
        <v>365390.64</v>
      </c>
    </row>
    <row r="262" spans="1:10" ht="15">
      <c r="A262" s="58" t="s">
        <v>746</v>
      </c>
      <c r="B262" s="58" t="s">
        <v>802</v>
      </c>
      <c r="C262" s="58" t="s">
        <v>788</v>
      </c>
      <c r="D262" s="58" t="s">
        <v>813</v>
      </c>
      <c r="E262" s="58">
        <v>509549</v>
      </c>
      <c r="F262" s="58">
        <v>52</v>
      </c>
      <c r="G262" s="58">
        <v>188933</v>
      </c>
      <c r="H262" s="69">
        <v>45371</v>
      </c>
      <c r="I262" s="58">
        <v>0.17</v>
      </c>
      <c r="J262" s="58">
        <v>2150200.5</v>
      </c>
    </row>
    <row r="263" spans="1:10" ht="15">
      <c r="A263" s="58" t="s">
        <v>743</v>
      </c>
      <c r="B263" s="58" t="s">
        <v>809</v>
      </c>
      <c r="C263" s="58" t="s">
        <v>788</v>
      </c>
      <c r="D263" s="58" t="s">
        <v>806</v>
      </c>
      <c r="E263" s="58">
        <v>4231683</v>
      </c>
      <c r="F263" s="58">
        <v>26</v>
      </c>
      <c r="G263" s="58">
        <v>463779</v>
      </c>
      <c r="H263" s="69">
        <v>44705</v>
      </c>
      <c r="I263" s="58">
        <v>0.09</v>
      </c>
      <c r="J263" s="58">
        <v>265549.44</v>
      </c>
    </row>
    <row r="264" spans="1:10" ht="15">
      <c r="A264" s="58" t="s">
        <v>749</v>
      </c>
      <c r="B264" s="58" t="s">
        <v>787</v>
      </c>
      <c r="C264" s="58" t="s">
        <v>788</v>
      </c>
      <c r="D264" s="58" t="s">
        <v>800</v>
      </c>
      <c r="E264" s="58">
        <v>4173099</v>
      </c>
      <c r="F264" s="58">
        <v>34</v>
      </c>
      <c r="G264" s="58">
        <v>98146</v>
      </c>
      <c r="H264" s="69">
        <v>45160</v>
      </c>
      <c r="I264" s="58">
        <v>0.15</v>
      </c>
      <c r="J264" s="58">
        <v>4437233.96</v>
      </c>
    </row>
    <row r="265" spans="1:10" ht="15">
      <c r="A265" s="58" t="s">
        <v>742</v>
      </c>
      <c r="B265" s="58" t="s">
        <v>808</v>
      </c>
      <c r="C265" s="58" t="s">
        <v>799</v>
      </c>
      <c r="D265" s="58" t="s">
        <v>810</v>
      </c>
      <c r="E265" s="58">
        <v>4666181</v>
      </c>
      <c r="F265" s="58">
        <v>29</v>
      </c>
      <c r="G265" s="58">
        <v>475565</v>
      </c>
      <c r="H265" s="69">
        <v>44646</v>
      </c>
      <c r="I265" s="58">
        <v>0.35</v>
      </c>
      <c r="J265" s="58">
        <v>2283454.9500000002</v>
      </c>
    </row>
    <row r="266" spans="1:10" ht="15">
      <c r="A266" s="58" t="s">
        <v>741</v>
      </c>
      <c r="B266" s="58" t="s">
        <v>794</v>
      </c>
      <c r="C266" s="58" t="s">
        <v>795</v>
      </c>
      <c r="D266" s="58" t="s">
        <v>791</v>
      </c>
      <c r="E266" s="58">
        <v>3123971</v>
      </c>
      <c r="F266" s="58">
        <v>67</v>
      </c>
      <c r="G266" s="58">
        <v>94121</v>
      </c>
      <c r="H266" s="69">
        <v>45602</v>
      </c>
      <c r="I266" s="58">
        <v>0.3</v>
      </c>
      <c r="J266" s="58">
        <v>2776439.55</v>
      </c>
    </row>
    <row r="267" spans="1:10" ht="15">
      <c r="A267" s="58" t="s">
        <v>747</v>
      </c>
      <c r="B267" s="58" t="s">
        <v>802</v>
      </c>
      <c r="C267" s="58" t="s">
        <v>798</v>
      </c>
      <c r="D267" s="58" t="s">
        <v>811</v>
      </c>
      <c r="E267" s="58">
        <v>610332</v>
      </c>
      <c r="F267" s="58">
        <v>48</v>
      </c>
      <c r="G267" s="58">
        <v>119230</v>
      </c>
      <c r="H267" s="69">
        <v>45078</v>
      </c>
      <c r="I267" s="58">
        <v>0.04</v>
      </c>
      <c r="J267" s="58">
        <v>2875043.56</v>
      </c>
    </row>
    <row r="268" spans="1:10" ht="15">
      <c r="A268" s="58" t="s">
        <v>744</v>
      </c>
      <c r="B268" s="58" t="s">
        <v>809</v>
      </c>
      <c r="C268" s="58" t="s">
        <v>799</v>
      </c>
      <c r="D268" s="58" t="s">
        <v>813</v>
      </c>
      <c r="E268" s="58">
        <v>289770</v>
      </c>
      <c r="F268" s="58">
        <v>43</v>
      </c>
      <c r="G268" s="58">
        <v>20701</v>
      </c>
      <c r="H268" s="69">
        <v>44564</v>
      </c>
      <c r="I268" s="58">
        <v>0.47</v>
      </c>
      <c r="J268" s="58">
        <v>2274948.52</v>
      </c>
    </row>
    <row r="269" spans="1:10" ht="15">
      <c r="A269" s="58" t="s">
        <v>743</v>
      </c>
      <c r="B269" s="58" t="s">
        <v>794</v>
      </c>
      <c r="C269" s="58" t="s">
        <v>809</v>
      </c>
      <c r="D269" s="58" t="s">
        <v>791</v>
      </c>
      <c r="E269" s="58">
        <v>468595</v>
      </c>
      <c r="F269" s="58">
        <v>6</v>
      </c>
      <c r="G269" s="58">
        <v>373529</v>
      </c>
      <c r="H269" s="69">
        <v>45357</v>
      </c>
      <c r="I269" s="58">
        <v>0.46</v>
      </c>
      <c r="J269" s="58">
        <v>1222708.3899999999</v>
      </c>
    </row>
    <row r="270" spans="1:10" ht="15">
      <c r="A270" s="58" t="s">
        <v>745</v>
      </c>
      <c r="B270" s="58" t="s">
        <v>804</v>
      </c>
      <c r="C270" s="58" t="s">
        <v>807</v>
      </c>
      <c r="D270" s="58" t="s">
        <v>801</v>
      </c>
      <c r="E270" s="58">
        <v>1844929</v>
      </c>
      <c r="F270" s="58">
        <v>1</v>
      </c>
      <c r="G270" s="58">
        <v>220252</v>
      </c>
      <c r="H270" s="69">
        <v>45496</v>
      </c>
      <c r="I270" s="58">
        <v>0.02</v>
      </c>
      <c r="J270" s="58">
        <v>865793.68</v>
      </c>
    </row>
    <row r="271" spans="1:10" ht="15">
      <c r="A271" s="58" t="s">
        <v>744</v>
      </c>
      <c r="B271" s="58" t="s">
        <v>814</v>
      </c>
      <c r="C271" s="58" t="s">
        <v>809</v>
      </c>
      <c r="D271" s="58" t="s">
        <v>803</v>
      </c>
      <c r="E271" s="58">
        <v>4494492</v>
      </c>
      <c r="F271" s="58">
        <v>24</v>
      </c>
      <c r="G271" s="58">
        <v>219299</v>
      </c>
      <c r="H271" s="69">
        <v>44874</v>
      </c>
      <c r="I271" s="58">
        <v>0.42</v>
      </c>
      <c r="J271" s="58">
        <v>1686567.12</v>
      </c>
    </row>
    <row r="272" spans="1:10" ht="15">
      <c r="A272" s="58" t="s">
        <v>747</v>
      </c>
      <c r="B272" s="58" t="s">
        <v>808</v>
      </c>
      <c r="C272" s="58" t="s">
        <v>809</v>
      </c>
      <c r="D272" s="58" t="s">
        <v>811</v>
      </c>
      <c r="E272" s="58">
        <v>4513946</v>
      </c>
      <c r="F272" s="58">
        <v>73</v>
      </c>
      <c r="G272" s="58">
        <v>172653</v>
      </c>
      <c r="H272" s="69">
        <v>44885</v>
      </c>
      <c r="I272" s="58">
        <v>0.22</v>
      </c>
      <c r="J272" s="58">
        <v>1698166.8</v>
      </c>
    </row>
    <row r="273" spans="1:10" ht="15">
      <c r="A273" s="58" t="s">
        <v>742</v>
      </c>
      <c r="B273" s="58" t="s">
        <v>794</v>
      </c>
      <c r="C273" s="58" t="s">
        <v>795</v>
      </c>
      <c r="D273" s="58" t="s">
        <v>813</v>
      </c>
      <c r="E273" s="58">
        <v>3946631</v>
      </c>
      <c r="F273" s="58">
        <v>88</v>
      </c>
      <c r="G273" s="58">
        <v>199564</v>
      </c>
      <c r="H273" s="69">
        <v>45455</v>
      </c>
      <c r="I273" s="58">
        <v>0.16</v>
      </c>
      <c r="J273" s="58">
        <v>2258356.14</v>
      </c>
    </row>
    <row r="274" spans="1:10" ht="15">
      <c r="A274" s="58" t="s">
        <v>747</v>
      </c>
      <c r="B274" s="58" t="s">
        <v>787</v>
      </c>
      <c r="C274" s="58" t="s">
        <v>798</v>
      </c>
      <c r="D274" s="58" t="s">
        <v>789</v>
      </c>
      <c r="E274" s="58">
        <v>2744092</v>
      </c>
      <c r="F274" s="58">
        <v>66</v>
      </c>
      <c r="G274" s="58">
        <v>119694</v>
      </c>
      <c r="H274" s="69">
        <v>45521</v>
      </c>
      <c r="I274" s="58">
        <v>0.08</v>
      </c>
      <c r="J274" s="58">
        <v>981595.44</v>
      </c>
    </row>
    <row r="275" spans="1:10" ht="15">
      <c r="A275" s="58" t="s">
        <v>748</v>
      </c>
      <c r="B275" s="58" t="s">
        <v>794</v>
      </c>
      <c r="C275" s="58" t="s">
        <v>798</v>
      </c>
      <c r="D275" s="58" t="s">
        <v>803</v>
      </c>
      <c r="E275" s="58">
        <v>3508281</v>
      </c>
      <c r="F275" s="58">
        <v>57</v>
      </c>
      <c r="G275" s="58">
        <v>393160</v>
      </c>
      <c r="H275" s="69">
        <v>44850</v>
      </c>
      <c r="I275" s="58">
        <v>0.28999999999999998</v>
      </c>
      <c r="J275" s="58">
        <v>1974462.42</v>
      </c>
    </row>
    <row r="276" spans="1:10" ht="15">
      <c r="A276" s="58" t="s">
        <v>743</v>
      </c>
      <c r="B276" s="58" t="s">
        <v>790</v>
      </c>
      <c r="C276" s="58" t="s">
        <v>795</v>
      </c>
      <c r="D276" s="58" t="s">
        <v>805</v>
      </c>
      <c r="E276" s="58">
        <v>380164</v>
      </c>
      <c r="F276" s="58">
        <v>65</v>
      </c>
      <c r="G276" s="58">
        <v>190716</v>
      </c>
      <c r="H276" s="69">
        <v>44679</v>
      </c>
      <c r="I276" s="58">
        <v>0.25</v>
      </c>
      <c r="J276" s="58">
        <v>3254309.41</v>
      </c>
    </row>
    <row r="277" spans="1:10" ht="15">
      <c r="A277" s="58" t="s">
        <v>743</v>
      </c>
      <c r="B277" s="58" t="s">
        <v>787</v>
      </c>
      <c r="C277" s="58" t="s">
        <v>799</v>
      </c>
      <c r="D277" s="58" t="s">
        <v>815</v>
      </c>
      <c r="E277" s="58">
        <v>3819331</v>
      </c>
      <c r="F277" s="58">
        <v>76</v>
      </c>
      <c r="G277" s="58">
        <v>85370</v>
      </c>
      <c r="H277" s="69">
        <v>45020</v>
      </c>
      <c r="I277" s="58">
        <v>0.21</v>
      </c>
      <c r="J277" s="58">
        <v>1822311.56</v>
      </c>
    </row>
    <row r="278" spans="1:10" ht="15">
      <c r="A278" s="58" t="s">
        <v>741</v>
      </c>
      <c r="B278" s="58" t="s">
        <v>797</v>
      </c>
      <c r="C278" s="58" t="s">
        <v>793</v>
      </c>
      <c r="D278" s="58" t="s">
        <v>805</v>
      </c>
      <c r="E278" s="58">
        <v>4251476</v>
      </c>
      <c r="F278" s="58">
        <v>20</v>
      </c>
      <c r="G278" s="58">
        <v>278053</v>
      </c>
      <c r="H278" s="69">
        <v>45418</v>
      </c>
      <c r="I278" s="58">
        <v>0.1</v>
      </c>
      <c r="J278" s="58">
        <v>296633.03999999998</v>
      </c>
    </row>
    <row r="279" spans="1:10" ht="15">
      <c r="A279" s="58" t="s">
        <v>742</v>
      </c>
      <c r="B279" s="58" t="s">
        <v>792</v>
      </c>
      <c r="C279" s="58" t="s">
        <v>788</v>
      </c>
      <c r="D279" s="58" t="s">
        <v>801</v>
      </c>
      <c r="E279" s="58">
        <v>3842792</v>
      </c>
      <c r="F279" s="58">
        <v>83</v>
      </c>
      <c r="G279" s="58">
        <v>225151</v>
      </c>
      <c r="H279" s="69">
        <v>45515</v>
      </c>
      <c r="I279" s="58">
        <v>0.09</v>
      </c>
      <c r="J279" s="58">
        <v>1310161.06</v>
      </c>
    </row>
    <row r="280" spans="1:10" ht="15">
      <c r="A280" s="58" t="s">
        <v>743</v>
      </c>
      <c r="B280" s="58" t="s">
        <v>794</v>
      </c>
      <c r="C280" s="58" t="s">
        <v>795</v>
      </c>
      <c r="D280" s="58" t="s">
        <v>791</v>
      </c>
      <c r="E280" s="58">
        <v>3975328</v>
      </c>
      <c r="F280" s="58">
        <v>6</v>
      </c>
      <c r="G280" s="58">
        <v>415444</v>
      </c>
      <c r="H280" s="69">
        <v>44679</v>
      </c>
      <c r="I280" s="58">
        <v>0.25</v>
      </c>
      <c r="J280" s="58">
        <v>2601636.75</v>
      </c>
    </row>
    <row r="281" spans="1:10" ht="15">
      <c r="A281" s="58" t="s">
        <v>746</v>
      </c>
      <c r="B281" s="58" t="s">
        <v>787</v>
      </c>
      <c r="C281" s="58" t="s">
        <v>799</v>
      </c>
      <c r="D281" s="58" t="s">
        <v>800</v>
      </c>
      <c r="E281" s="58">
        <v>34676</v>
      </c>
      <c r="F281" s="58">
        <v>49</v>
      </c>
      <c r="G281" s="58">
        <v>221769</v>
      </c>
      <c r="H281" s="69">
        <v>44796</v>
      </c>
      <c r="I281" s="58">
        <v>0.27</v>
      </c>
      <c r="J281" s="58">
        <v>1462434.65</v>
      </c>
    </row>
    <row r="282" spans="1:10" ht="15">
      <c r="A282" s="58" t="s">
        <v>744</v>
      </c>
      <c r="B282" s="58" t="s">
        <v>790</v>
      </c>
      <c r="C282" s="58" t="s">
        <v>793</v>
      </c>
      <c r="D282" s="58" t="s">
        <v>789</v>
      </c>
      <c r="E282" s="58">
        <v>3337017</v>
      </c>
      <c r="F282" s="58">
        <v>31</v>
      </c>
      <c r="G282" s="58">
        <v>55695</v>
      </c>
      <c r="H282" s="69">
        <v>45349</v>
      </c>
      <c r="I282" s="58">
        <v>0.06</v>
      </c>
      <c r="J282" s="58">
        <v>288819</v>
      </c>
    </row>
    <row r="283" spans="1:10" ht="15">
      <c r="A283" s="58" t="s">
        <v>748</v>
      </c>
      <c r="B283" s="58" t="s">
        <v>804</v>
      </c>
      <c r="C283" s="58" t="s">
        <v>793</v>
      </c>
      <c r="D283" s="58" t="s">
        <v>789</v>
      </c>
      <c r="E283" s="58">
        <v>837902</v>
      </c>
      <c r="F283" s="58">
        <v>75</v>
      </c>
      <c r="G283" s="58">
        <v>180616</v>
      </c>
      <c r="H283" s="69">
        <v>44787</v>
      </c>
      <c r="I283" s="58">
        <v>0.38</v>
      </c>
      <c r="J283" s="58">
        <v>2946354.32</v>
      </c>
    </row>
    <row r="284" spans="1:10" ht="15">
      <c r="A284" s="58" t="s">
        <v>740</v>
      </c>
      <c r="B284" s="58" t="s">
        <v>814</v>
      </c>
      <c r="C284" s="58" t="s">
        <v>798</v>
      </c>
      <c r="D284" s="58" t="s">
        <v>800</v>
      </c>
      <c r="E284" s="58">
        <v>566665</v>
      </c>
      <c r="F284" s="58">
        <v>66</v>
      </c>
      <c r="G284" s="58">
        <v>167424</v>
      </c>
      <c r="H284" s="69">
        <v>45561</v>
      </c>
      <c r="I284" s="58">
        <v>0.33</v>
      </c>
      <c r="J284" s="58">
        <v>3518380.15</v>
      </c>
    </row>
    <row r="285" spans="1:10" ht="15">
      <c r="A285" s="58" t="s">
        <v>742</v>
      </c>
      <c r="B285" s="58" t="s">
        <v>797</v>
      </c>
      <c r="C285" s="58" t="s">
        <v>793</v>
      </c>
      <c r="D285" s="58" t="s">
        <v>803</v>
      </c>
      <c r="E285" s="58">
        <v>3444030</v>
      </c>
      <c r="F285" s="58">
        <v>16</v>
      </c>
      <c r="G285" s="58">
        <v>57417</v>
      </c>
      <c r="H285" s="69">
        <v>44642</v>
      </c>
      <c r="I285" s="58">
        <v>0.19</v>
      </c>
      <c r="J285" s="58">
        <v>2509740.08</v>
      </c>
    </row>
    <row r="286" spans="1:10" ht="15">
      <c r="A286" s="58" t="s">
        <v>748</v>
      </c>
      <c r="B286" s="58" t="s">
        <v>804</v>
      </c>
      <c r="C286" s="58" t="s">
        <v>793</v>
      </c>
      <c r="D286" s="58" t="s">
        <v>813</v>
      </c>
      <c r="E286" s="58">
        <v>691754</v>
      </c>
      <c r="F286" s="58">
        <v>30</v>
      </c>
      <c r="G286" s="58">
        <v>195365</v>
      </c>
      <c r="H286" s="69">
        <v>45205</v>
      </c>
      <c r="I286" s="58">
        <v>0.32</v>
      </c>
      <c r="J286" s="58">
        <v>2181709.3199999998</v>
      </c>
    </row>
    <row r="287" spans="1:10" ht="15">
      <c r="A287" s="58" t="s">
        <v>742</v>
      </c>
      <c r="B287" s="58" t="s">
        <v>797</v>
      </c>
      <c r="C287" s="58" t="s">
        <v>793</v>
      </c>
      <c r="D287" s="58" t="s">
        <v>810</v>
      </c>
      <c r="E287" s="58">
        <v>4398805</v>
      </c>
      <c r="F287" s="58">
        <v>41</v>
      </c>
      <c r="G287" s="58">
        <v>345357</v>
      </c>
      <c r="H287" s="69">
        <v>45368</v>
      </c>
      <c r="I287" s="58">
        <v>0.41</v>
      </c>
      <c r="J287" s="58">
        <v>1859891.86</v>
      </c>
    </row>
    <row r="288" spans="1:10" ht="15">
      <c r="A288" s="58" t="s">
        <v>749</v>
      </c>
      <c r="B288" s="58" t="s">
        <v>790</v>
      </c>
      <c r="C288" s="58" t="s">
        <v>799</v>
      </c>
      <c r="D288" s="58" t="s">
        <v>815</v>
      </c>
      <c r="E288" s="58">
        <v>1039382</v>
      </c>
      <c r="F288" s="58">
        <v>39</v>
      </c>
      <c r="G288" s="58">
        <v>253767</v>
      </c>
      <c r="H288" s="69">
        <v>45037</v>
      </c>
      <c r="I288" s="58">
        <v>7.0000000000000007E-2</v>
      </c>
      <c r="J288" s="58">
        <v>1574354.66</v>
      </c>
    </row>
    <row r="289" spans="1:10" ht="15">
      <c r="A289" s="58" t="s">
        <v>745</v>
      </c>
      <c r="B289" s="58" t="s">
        <v>790</v>
      </c>
      <c r="C289" s="58" t="s">
        <v>799</v>
      </c>
      <c r="D289" s="58" t="s">
        <v>801</v>
      </c>
      <c r="E289" s="58">
        <v>1066889</v>
      </c>
      <c r="F289" s="58">
        <v>91</v>
      </c>
      <c r="G289" s="58">
        <v>444319</v>
      </c>
      <c r="H289" s="69">
        <v>45216</v>
      </c>
      <c r="I289" s="58">
        <v>0.24</v>
      </c>
      <c r="J289" s="58">
        <v>1818785.97</v>
      </c>
    </row>
    <row r="290" spans="1:10" ht="15">
      <c r="A290" s="58" t="s">
        <v>740</v>
      </c>
      <c r="B290" s="58" t="s">
        <v>787</v>
      </c>
      <c r="C290" s="58" t="s">
        <v>807</v>
      </c>
      <c r="D290" s="58" t="s">
        <v>791</v>
      </c>
      <c r="E290" s="58">
        <v>1461933</v>
      </c>
      <c r="F290" s="58">
        <v>14</v>
      </c>
      <c r="G290" s="58">
        <v>346800</v>
      </c>
      <c r="H290" s="69">
        <v>44585</v>
      </c>
      <c r="I290" s="58">
        <v>0.25</v>
      </c>
      <c r="J290" s="58">
        <v>338145.22</v>
      </c>
    </row>
    <row r="291" spans="1:10" ht="15">
      <c r="A291" s="58" t="s">
        <v>749</v>
      </c>
      <c r="B291" s="58" t="s">
        <v>809</v>
      </c>
      <c r="C291" s="58" t="s">
        <v>795</v>
      </c>
      <c r="D291" s="58" t="s">
        <v>813</v>
      </c>
      <c r="E291" s="58">
        <v>3688365</v>
      </c>
      <c r="F291" s="58">
        <v>19</v>
      </c>
      <c r="G291" s="58">
        <v>274549</v>
      </c>
      <c r="H291" s="69">
        <v>45026</v>
      </c>
      <c r="I291" s="58">
        <v>0.22</v>
      </c>
      <c r="J291" s="58">
        <v>2283783.36</v>
      </c>
    </row>
    <row r="292" spans="1:10" ht="15">
      <c r="A292" s="58" t="s">
        <v>744</v>
      </c>
      <c r="B292" s="58" t="s">
        <v>792</v>
      </c>
      <c r="C292" s="58" t="s">
        <v>809</v>
      </c>
      <c r="D292" s="58" t="s">
        <v>800</v>
      </c>
      <c r="E292" s="58">
        <v>3004584</v>
      </c>
      <c r="F292" s="58">
        <v>96</v>
      </c>
      <c r="G292" s="58">
        <v>75089</v>
      </c>
      <c r="H292" s="69">
        <v>45189</v>
      </c>
      <c r="I292" s="58">
        <v>0.5</v>
      </c>
      <c r="J292" s="58">
        <v>3332859.66</v>
      </c>
    </row>
    <row r="293" spans="1:10" ht="15">
      <c r="A293" s="58" t="s">
        <v>748</v>
      </c>
      <c r="B293" s="58" t="s">
        <v>804</v>
      </c>
      <c r="C293" s="58" t="s">
        <v>793</v>
      </c>
      <c r="D293" s="58" t="s">
        <v>791</v>
      </c>
      <c r="E293" s="58">
        <v>4165266</v>
      </c>
      <c r="F293" s="58">
        <v>71</v>
      </c>
      <c r="G293" s="58">
        <v>95098</v>
      </c>
      <c r="H293" s="69">
        <v>45471</v>
      </c>
      <c r="I293" s="58">
        <v>0.48</v>
      </c>
      <c r="J293" s="58">
        <v>1679644.08</v>
      </c>
    </row>
    <row r="294" spans="1:10" ht="15">
      <c r="A294" s="58" t="s">
        <v>742</v>
      </c>
      <c r="B294" s="58" t="s">
        <v>797</v>
      </c>
      <c r="C294" s="58" t="s">
        <v>788</v>
      </c>
      <c r="D294" s="58" t="s">
        <v>800</v>
      </c>
      <c r="E294" s="58">
        <v>4378213</v>
      </c>
      <c r="F294" s="58">
        <v>5</v>
      </c>
      <c r="G294" s="58">
        <v>71352</v>
      </c>
      <c r="H294" s="69">
        <v>45041</v>
      </c>
      <c r="I294" s="58">
        <v>0.43</v>
      </c>
      <c r="J294" s="58">
        <v>211259.3</v>
      </c>
    </row>
    <row r="295" spans="1:10" ht="15">
      <c r="A295" s="58" t="s">
        <v>740</v>
      </c>
      <c r="B295" s="58" t="s">
        <v>792</v>
      </c>
      <c r="C295" s="58" t="s">
        <v>809</v>
      </c>
      <c r="D295" s="58" t="s">
        <v>806</v>
      </c>
      <c r="E295" s="58">
        <v>4945471</v>
      </c>
      <c r="F295" s="58">
        <v>25</v>
      </c>
      <c r="G295" s="58">
        <v>72495</v>
      </c>
      <c r="H295" s="69">
        <v>45271</v>
      </c>
      <c r="I295" s="58">
        <v>0.5</v>
      </c>
      <c r="J295" s="58">
        <v>429303.84</v>
      </c>
    </row>
    <row r="296" spans="1:10" ht="15">
      <c r="A296" s="58" t="s">
        <v>742</v>
      </c>
      <c r="B296" s="58" t="s">
        <v>802</v>
      </c>
      <c r="C296" s="58" t="s">
        <v>807</v>
      </c>
      <c r="D296" s="58" t="s">
        <v>801</v>
      </c>
      <c r="E296" s="58">
        <v>4420627</v>
      </c>
      <c r="F296" s="58">
        <v>88</v>
      </c>
      <c r="G296" s="58">
        <v>192088</v>
      </c>
      <c r="H296" s="69">
        <v>44936</v>
      </c>
      <c r="I296" s="58">
        <v>0.43</v>
      </c>
      <c r="J296" s="58">
        <v>207226.8</v>
      </c>
    </row>
    <row r="297" spans="1:10" ht="15">
      <c r="A297" s="58" t="s">
        <v>748</v>
      </c>
      <c r="B297" s="58" t="s">
        <v>804</v>
      </c>
      <c r="C297" s="58" t="s">
        <v>798</v>
      </c>
      <c r="D297" s="58" t="s">
        <v>812</v>
      </c>
      <c r="E297" s="58">
        <v>1369742</v>
      </c>
      <c r="F297" s="58">
        <v>68</v>
      </c>
      <c r="G297" s="58">
        <v>392062</v>
      </c>
      <c r="H297" s="69">
        <v>45648</v>
      </c>
      <c r="I297" s="58">
        <v>0.28000000000000003</v>
      </c>
      <c r="J297" s="58">
        <v>374074.15</v>
      </c>
    </row>
    <row r="298" spans="1:10" ht="15">
      <c r="A298" s="58" t="s">
        <v>748</v>
      </c>
      <c r="B298" s="58" t="s">
        <v>792</v>
      </c>
      <c r="C298" s="58" t="s">
        <v>793</v>
      </c>
      <c r="D298" s="58" t="s">
        <v>791</v>
      </c>
      <c r="E298" s="58">
        <v>2549112</v>
      </c>
      <c r="F298" s="58">
        <v>62</v>
      </c>
      <c r="G298" s="58">
        <v>258622</v>
      </c>
      <c r="H298" s="69">
        <v>45091</v>
      </c>
      <c r="I298" s="58">
        <v>0.46</v>
      </c>
      <c r="J298" s="58">
        <v>1834888.25</v>
      </c>
    </row>
    <row r="299" spans="1:10" ht="15">
      <c r="A299" s="58" t="s">
        <v>748</v>
      </c>
      <c r="B299" s="58" t="s">
        <v>790</v>
      </c>
      <c r="C299" s="58" t="s">
        <v>798</v>
      </c>
      <c r="D299" s="58" t="s">
        <v>803</v>
      </c>
      <c r="E299" s="58">
        <v>3055534</v>
      </c>
      <c r="F299" s="58">
        <v>76</v>
      </c>
      <c r="G299" s="58">
        <v>388398</v>
      </c>
      <c r="H299" s="69">
        <v>44672</v>
      </c>
      <c r="I299" s="58">
        <v>0.37</v>
      </c>
      <c r="J299" s="58">
        <v>2436389.7599999998</v>
      </c>
    </row>
    <row r="300" spans="1:10" ht="15">
      <c r="A300" s="58" t="s">
        <v>743</v>
      </c>
      <c r="B300" s="58" t="s">
        <v>804</v>
      </c>
      <c r="C300" s="58" t="s">
        <v>795</v>
      </c>
      <c r="D300" s="58" t="s">
        <v>815</v>
      </c>
      <c r="E300" s="58">
        <v>4773871</v>
      </c>
      <c r="F300" s="58">
        <v>47</v>
      </c>
      <c r="G300" s="58">
        <v>365153</v>
      </c>
      <c r="H300" s="69">
        <v>44585</v>
      </c>
      <c r="I300" s="58">
        <v>0.34</v>
      </c>
      <c r="J300" s="58">
        <v>2039578.58</v>
      </c>
    </row>
    <row r="301" spans="1:10" ht="15">
      <c r="A301" s="58" t="s">
        <v>746</v>
      </c>
      <c r="B301" s="58" t="s">
        <v>792</v>
      </c>
      <c r="C301" s="58" t="s">
        <v>799</v>
      </c>
      <c r="D301" s="58" t="s">
        <v>789</v>
      </c>
      <c r="E301" s="58">
        <v>3186929</v>
      </c>
      <c r="F301" s="58">
        <v>19</v>
      </c>
      <c r="G301" s="58">
        <v>440356</v>
      </c>
      <c r="H301" s="69">
        <v>45024</v>
      </c>
      <c r="I301" s="58">
        <v>0.04</v>
      </c>
      <c r="J301" s="58">
        <v>872425.08</v>
      </c>
    </row>
    <row r="302" spans="1:10" ht="15">
      <c r="A302" s="58" t="s">
        <v>748</v>
      </c>
      <c r="B302" s="58" t="s">
        <v>809</v>
      </c>
      <c r="C302" s="58" t="s">
        <v>793</v>
      </c>
      <c r="D302" s="58" t="s">
        <v>789</v>
      </c>
      <c r="E302" s="58">
        <v>257827</v>
      </c>
      <c r="F302" s="58">
        <v>80</v>
      </c>
      <c r="G302" s="58">
        <v>239525</v>
      </c>
      <c r="H302" s="69">
        <v>44635</v>
      </c>
      <c r="I302" s="58">
        <v>0.04</v>
      </c>
      <c r="J302" s="58">
        <v>1374715.71</v>
      </c>
    </row>
    <row r="303" spans="1:10" ht="15">
      <c r="A303" s="58" t="s">
        <v>740</v>
      </c>
      <c r="B303" s="58" t="s">
        <v>790</v>
      </c>
      <c r="C303" s="58" t="s">
        <v>798</v>
      </c>
      <c r="D303" s="58" t="s">
        <v>801</v>
      </c>
      <c r="E303" s="58">
        <v>2453641</v>
      </c>
      <c r="F303" s="58">
        <v>45</v>
      </c>
      <c r="G303" s="58">
        <v>372927</v>
      </c>
      <c r="H303" s="69">
        <v>45606</v>
      </c>
      <c r="I303" s="58">
        <v>0.39</v>
      </c>
      <c r="J303" s="58">
        <v>775139.64</v>
      </c>
    </row>
    <row r="304" spans="1:10" ht="15">
      <c r="A304" s="58" t="s">
        <v>743</v>
      </c>
      <c r="B304" s="58" t="s">
        <v>792</v>
      </c>
      <c r="C304" s="58" t="s">
        <v>807</v>
      </c>
      <c r="D304" s="58" t="s">
        <v>791</v>
      </c>
      <c r="E304" s="58">
        <v>2009195</v>
      </c>
      <c r="F304" s="58">
        <v>37</v>
      </c>
      <c r="G304" s="58">
        <v>121609</v>
      </c>
      <c r="H304" s="69">
        <v>45328</v>
      </c>
      <c r="I304" s="58">
        <v>0.28000000000000003</v>
      </c>
      <c r="J304" s="58">
        <v>3486492.81</v>
      </c>
    </row>
    <row r="305" spans="1:10" ht="15">
      <c r="A305" s="58" t="s">
        <v>746</v>
      </c>
      <c r="B305" s="58" t="s">
        <v>787</v>
      </c>
      <c r="C305" s="58" t="s">
        <v>798</v>
      </c>
      <c r="D305" s="58" t="s">
        <v>815</v>
      </c>
      <c r="E305" s="58">
        <v>1128214</v>
      </c>
      <c r="F305" s="58">
        <v>38</v>
      </c>
      <c r="G305" s="58">
        <v>449345</v>
      </c>
      <c r="H305" s="69">
        <v>44992</v>
      </c>
      <c r="I305" s="58">
        <v>0.48</v>
      </c>
      <c r="J305" s="58">
        <v>1863092</v>
      </c>
    </row>
    <row r="306" spans="1:10" ht="15">
      <c r="A306" s="58" t="s">
        <v>742</v>
      </c>
      <c r="B306" s="58" t="s">
        <v>797</v>
      </c>
      <c r="C306" s="58" t="s">
        <v>809</v>
      </c>
      <c r="D306" s="58" t="s">
        <v>800</v>
      </c>
      <c r="E306" s="58">
        <v>4667106</v>
      </c>
      <c r="F306" s="58">
        <v>9</v>
      </c>
      <c r="G306" s="58">
        <v>305234</v>
      </c>
      <c r="H306" s="69">
        <v>45647</v>
      </c>
      <c r="I306" s="58">
        <v>0.34</v>
      </c>
      <c r="J306" s="58">
        <v>3085730.52</v>
      </c>
    </row>
    <row r="307" spans="1:10" ht="15">
      <c r="A307" s="58" t="s">
        <v>740</v>
      </c>
      <c r="B307" s="58" t="s">
        <v>808</v>
      </c>
      <c r="C307" s="58" t="s">
        <v>799</v>
      </c>
      <c r="D307" s="58" t="s">
        <v>815</v>
      </c>
      <c r="E307" s="58">
        <v>3423584</v>
      </c>
      <c r="F307" s="58">
        <v>25</v>
      </c>
      <c r="G307" s="58">
        <v>259924</v>
      </c>
      <c r="H307" s="69">
        <v>44880</v>
      </c>
      <c r="I307" s="58">
        <v>0.39</v>
      </c>
      <c r="J307" s="58">
        <v>1721116.22</v>
      </c>
    </row>
    <row r="308" spans="1:10" ht="15">
      <c r="A308" s="58" t="s">
        <v>740</v>
      </c>
      <c r="B308" s="58" t="s">
        <v>809</v>
      </c>
      <c r="C308" s="58" t="s">
        <v>809</v>
      </c>
      <c r="D308" s="58" t="s">
        <v>800</v>
      </c>
      <c r="E308" s="58">
        <v>304106</v>
      </c>
      <c r="F308" s="58">
        <v>94</v>
      </c>
      <c r="G308" s="58">
        <v>466488</v>
      </c>
      <c r="H308" s="69">
        <v>44588</v>
      </c>
      <c r="I308" s="58">
        <v>0.16</v>
      </c>
      <c r="J308" s="58">
        <v>2934376.38</v>
      </c>
    </row>
    <row r="309" spans="1:10" ht="15">
      <c r="A309" s="55" t="s">
        <v>748</v>
      </c>
      <c r="B309" s="56" t="s">
        <v>797</v>
      </c>
      <c r="C309" s="56" t="s">
        <v>795</v>
      </c>
      <c r="D309" s="56" t="s">
        <v>791</v>
      </c>
      <c r="E309" s="56">
        <v>3660898</v>
      </c>
      <c r="F309" s="56">
        <v>4</v>
      </c>
      <c r="G309" s="56">
        <v>153453</v>
      </c>
      <c r="H309" s="68">
        <v>44822</v>
      </c>
      <c r="I309" s="56">
        <v>0.25</v>
      </c>
      <c r="J309" s="56">
        <v>4189198.65</v>
      </c>
    </row>
    <row r="310" spans="1:10" ht="15">
      <c r="A310" s="58" t="s">
        <v>741</v>
      </c>
      <c r="B310" s="58" t="s">
        <v>814</v>
      </c>
      <c r="C310" s="58" t="s">
        <v>793</v>
      </c>
      <c r="D310" s="58" t="s">
        <v>813</v>
      </c>
      <c r="E310" s="58">
        <v>489847</v>
      </c>
      <c r="F310" s="58">
        <v>30</v>
      </c>
      <c r="G310" s="58">
        <v>24747</v>
      </c>
      <c r="H310" s="69">
        <v>44958</v>
      </c>
      <c r="I310" s="58">
        <v>0.47</v>
      </c>
      <c r="J310" s="58">
        <v>2249499.87</v>
      </c>
    </row>
    <row r="311" spans="1:10" ht="15">
      <c r="A311" s="58" t="s">
        <v>746</v>
      </c>
      <c r="B311" s="58" t="s">
        <v>814</v>
      </c>
      <c r="C311" s="58" t="s">
        <v>795</v>
      </c>
      <c r="D311" s="58" t="s">
        <v>796</v>
      </c>
      <c r="E311" s="58">
        <v>3244283</v>
      </c>
      <c r="F311" s="58">
        <v>28</v>
      </c>
      <c r="G311" s="58">
        <v>295129</v>
      </c>
      <c r="H311" s="69">
        <v>44582</v>
      </c>
      <c r="I311" s="58">
        <v>0.03</v>
      </c>
      <c r="J311" s="58">
        <v>1485504</v>
      </c>
    </row>
    <row r="312" spans="1:10" ht="15">
      <c r="A312" s="58" t="s">
        <v>745</v>
      </c>
      <c r="B312" s="58" t="s">
        <v>794</v>
      </c>
      <c r="C312" s="58" t="s">
        <v>809</v>
      </c>
      <c r="D312" s="58" t="s">
        <v>801</v>
      </c>
      <c r="E312" s="58">
        <v>746722</v>
      </c>
      <c r="F312" s="58">
        <v>48</v>
      </c>
      <c r="G312" s="58">
        <v>434737</v>
      </c>
      <c r="H312" s="69">
        <v>44931</v>
      </c>
      <c r="I312" s="58">
        <v>0.23</v>
      </c>
      <c r="J312" s="58">
        <v>34521.300000000003</v>
      </c>
    </row>
    <row r="313" spans="1:10" ht="15">
      <c r="A313" s="58" t="s">
        <v>740</v>
      </c>
      <c r="B313" s="58" t="s">
        <v>804</v>
      </c>
      <c r="C313" s="58" t="s">
        <v>795</v>
      </c>
      <c r="D313" s="58" t="s">
        <v>815</v>
      </c>
      <c r="E313" s="58">
        <v>2736233</v>
      </c>
      <c r="F313" s="58">
        <v>96</v>
      </c>
      <c r="G313" s="58">
        <v>489456</v>
      </c>
      <c r="H313" s="69">
        <v>45217</v>
      </c>
      <c r="I313" s="58">
        <v>0.41</v>
      </c>
      <c r="J313" s="58">
        <v>2313157.64</v>
      </c>
    </row>
    <row r="314" spans="1:10" ht="15">
      <c r="A314" s="58" t="s">
        <v>744</v>
      </c>
      <c r="B314" s="58" t="s">
        <v>809</v>
      </c>
      <c r="C314" s="58" t="s">
        <v>795</v>
      </c>
      <c r="D314" s="58" t="s">
        <v>815</v>
      </c>
      <c r="E314" s="58">
        <v>4598544</v>
      </c>
      <c r="F314" s="58">
        <v>35</v>
      </c>
      <c r="G314" s="58">
        <v>77841</v>
      </c>
      <c r="H314" s="69">
        <v>45632</v>
      </c>
      <c r="I314" s="58">
        <v>0.44</v>
      </c>
      <c r="J314" s="58">
        <v>158998.28</v>
      </c>
    </row>
    <row r="315" spans="1:10" ht="15">
      <c r="A315" s="58" t="s">
        <v>746</v>
      </c>
      <c r="B315" s="58" t="s">
        <v>802</v>
      </c>
      <c r="C315" s="58" t="s">
        <v>807</v>
      </c>
      <c r="D315" s="58" t="s">
        <v>805</v>
      </c>
      <c r="E315" s="58">
        <v>759785</v>
      </c>
      <c r="F315" s="58">
        <v>90</v>
      </c>
      <c r="G315" s="58">
        <v>498857</v>
      </c>
      <c r="H315" s="69">
        <v>44775</v>
      </c>
      <c r="I315" s="58">
        <v>0.38</v>
      </c>
      <c r="J315" s="58">
        <v>1169361.9199999999</v>
      </c>
    </row>
    <row r="316" spans="1:10" ht="15">
      <c r="A316" s="58" t="s">
        <v>747</v>
      </c>
      <c r="B316" s="58" t="s">
        <v>802</v>
      </c>
      <c r="C316" s="58" t="s">
        <v>788</v>
      </c>
      <c r="D316" s="58" t="s">
        <v>800</v>
      </c>
      <c r="E316" s="58">
        <v>3274706</v>
      </c>
      <c r="F316" s="58">
        <v>84</v>
      </c>
      <c r="G316" s="58">
        <v>20611</v>
      </c>
      <c r="H316" s="69">
        <v>44909</v>
      </c>
      <c r="I316" s="58">
        <v>0.47</v>
      </c>
      <c r="J316" s="58">
        <v>379232.28</v>
      </c>
    </row>
    <row r="317" spans="1:10" ht="15">
      <c r="A317" s="58" t="s">
        <v>748</v>
      </c>
      <c r="B317" s="58" t="s">
        <v>792</v>
      </c>
      <c r="C317" s="58" t="s">
        <v>798</v>
      </c>
      <c r="D317" s="58" t="s">
        <v>813</v>
      </c>
      <c r="E317" s="58">
        <v>1870899</v>
      </c>
      <c r="F317" s="58">
        <v>54</v>
      </c>
      <c r="G317" s="58">
        <v>297057</v>
      </c>
      <c r="H317" s="69">
        <v>45425</v>
      </c>
      <c r="I317" s="58">
        <v>0.01</v>
      </c>
      <c r="J317" s="58">
        <v>877210.72</v>
      </c>
    </row>
    <row r="318" spans="1:10" ht="15">
      <c r="A318" s="58" t="s">
        <v>748</v>
      </c>
      <c r="B318" s="58" t="s">
        <v>787</v>
      </c>
      <c r="C318" s="58" t="s">
        <v>793</v>
      </c>
      <c r="D318" s="58" t="s">
        <v>812</v>
      </c>
      <c r="E318" s="58">
        <v>537485</v>
      </c>
      <c r="F318" s="58">
        <v>21</v>
      </c>
      <c r="G318" s="58">
        <v>224636</v>
      </c>
      <c r="H318" s="69">
        <v>44879</v>
      </c>
      <c r="I318" s="58">
        <v>0.35</v>
      </c>
      <c r="J318" s="58">
        <v>3253062.75</v>
      </c>
    </row>
    <row r="319" spans="1:10" ht="15">
      <c r="A319" s="58" t="s">
        <v>745</v>
      </c>
      <c r="B319" s="58" t="s">
        <v>808</v>
      </c>
      <c r="C319" s="58" t="s">
        <v>795</v>
      </c>
      <c r="D319" s="58" t="s">
        <v>805</v>
      </c>
      <c r="E319" s="58">
        <v>385469</v>
      </c>
      <c r="F319" s="58">
        <v>7</v>
      </c>
      <c r="G319" s="58">
        <v>322664</v>
      </c>
      <c r="H319" s="69">
        <v>44671</v>
      </c>
      <c r="I319" s="58">
        <v>0.14000000000000001</v>
      </c>
      <c r="J319" s="58">
        <v>2033938.24</v>
      </c>
    </row>
    <row r="320" spans="1:10" ht="15">
      <c r="A320" s="58" t="s">
        <v>745</v>
      </c>
      <c r="B320" s="58" t="s">
        <v>802</v>
      </c>
      <c r="C320" s="58" t="s">
        <v>798</v>
      </c>
      <c r="D320" s="58" t="s">
        <v>806</v>
      </c>
      <c r="E320" s="58">
        <v>2657080</v>
      </c>
      <c r="F320" s="58">
        <v>50</v>
      </c>
      <c r="G320" s="58">
        <v>77636</v>
      </c>
      <c r="H320" s="69">
        <v>44936</v>
      </c>
      <c r="I320" s="58">
        <v>0.23</v>
      </c>
      <c r="J320" s="58">
        <v>845321.76</v>
      </c>
    </row>
    <row r="321" spans="1:10" ht="15">
      <c r="A321" s="58" t="s">
        <v>741</v>
      </c>
      <c r="B321" s="58" t="s">
        <v>802</v>
      </c>
      <c r="C321" s="58" t="s">
        <v>793</v>
      </c>
      <c r="D321" s="58" t="s">
        <v>801</v>
      </c>
      <c r="E321" s="58">
        <v>3348089</v>
      </c>
      <c r="F321" s="58">
        <v>98</v>
      </c>
      <c r="G321" s="58">
        <v>319338</v>
      </c>
      <c r="H321" s="69">
        <v>45142</v>
      </c>
      <c r="I321" s="58">
        <v>0.08</v>
      </c>
      <c r="J321" s="58">
        <v>2036934.9</v>
      </c>
    </row>
    <row r="322" spans="1:10" ht="15">
      <c r="A322" s="58" t="s">
        <v>744</v>
      </c>
      <c r="B322" s="58" t="s">
        <v>794</v>
      </c>
      <c r="C322" s="58" t="s">
        <v>793</v>
      </c>
      <c r="D322" s="58" t="s">
        <v>806</v>
      </c>
      <c r="E322" s="58">
        <v>2138156</v>
      </c>
      <c r="F322" s="58">
        <v>74</v>
      </c>
      <c r="G322" s="58">
        <v>346644</v>
      </c>
      <c r="H322" s="69">
        <v>45638</v>
      </c>
      <c r="I322" s="58">
        <v>0.17</v>
      </c>
      <c r="J322" s="58">
        <v>989165.26</v>
      </c>
    </row>
    <row r="323" spans="1:10" ht="15">
      <c r="A323" s="58" t="s">
        <v>740</v>
      </c>
      <c r="B323" s="58" t="s">
        <v>797</v>
      </c>
      <c r="C323" s="58" t="s">
        <v>799</v>
      </c>
      <c r="D323" s="58" t="s">
        <v>815</v>
      </c>
      <c r="E323" s="58">
        <v>1485190</v>
      </c>
      <c r="F323" s="58">
        <v>70</v>
      </c>
      <c r="G323" s="58">
        <v>387119</v>
      </c>
      <c r="H323" s="69">
        <v>45590</v>
      </c>
      <c r="I323" s="58">
        <v>0.27</v>
      </c>
      <c r="J323" s="58">
        <v>4228869.5999999996</v>
      </c>
    </row>
    <row r="324" spans="1:10" ht="15">
      <c r="A324" s="58" t="s">
        <v>746</v>
      </c>
      <c r="B324" s="58" t="s">
        <v>804</v>
      </c>
      <c r="C324" s="58" t="s">
        <v>799</v>
      </c>
      <c r="D324" s="58" t="s">
        <v>813</v>
      </c>
      <c r="E324" s="58">
        <v>4121273</v>
      </c>
      <c r="F324" s="58">
        <v>27</v>
      </c>
      <c r="G324" s="58">
        <v>226586</v>
      </c>
      <c r="H324" s="69">
        <v>44912</v>
      </c>
      <c r="I324" s="58">
        <v>0.39</v>
      </c>
      <c r="J324" s="58">
        <v>2873149.06</v>
      </c>
    </row>
    <row r="325" spans="1:10" ht="15">
      <c r="A325" s="58" t="s">
        <v>746</v>
      </c>
      <c r="B325" s="58" t="s">
        <v>804</v>
      </c>
      <c r="C325" s="58" t="s">
        <v>809</v>
      </c>
      <c r="D325" s="58" t="s">
        <v>789</v>
      </c>
      <c r="E325" s="58">
        <v>2363541</v>
      </c>
      <c r="F325" s="58">
        <v>39</v>
      </c>
      <c r="G325" s="58">
        <v>496710</v>
      </c>
      <c r="H325" s="69">
        <v>45354</v>
      </c>
      <c r="I325" s="58">
        <v>0.26</v>
      </c>
      <c r="J325" s="58">
        <v>2431150.5</v>
      </c>
    </row>
    <row r="326" spans="1:10" ht="15">
      <c r="A326" s="58" t="s">
        <v>747</v>
      </c>
      <c r="B326" s="58" t="s">
        <v>792</v>
      </c>
      <c r="C326" s="58" t="s">
        <v>788</v>
      </c>
      <c r="D326" s="58" t="s">
        <v>812</v>
      </c>
      <c r="E326" s="58">
        <v>231321</v>
      </c>
      <c r="F326" s="58">
        <v>73</v>
      </c>
      <c r="G326" s="58">
        <v>464442</v>
      </c>
      <c r="H326" s="69">
        <v>44572</v>
      </c>
      <c r="I326" s="58">
        <v>0.27</v>
      </c>
      <c r="J326" s="58">
        <v>880963.02</v>
      </c>
    </row>
    <row r="327" spans="1:10" ht="15">
      <c r="A327" s="58" t="s">
        <v>740</v>
      </c>
      <c r="B327" s="58" t="s">
        <v>794</v>
      </c>
      <c r="C327" s="58" t="s">
        <v>807</v>
      </c>
      <c r="D327" s="58" t="s">
        <v>796</v>
      </c>
      <c r="E327" s="58">
        <v>2199554</v>
      </c>
      <c r="F327" s="58">
        <v>10</v>
      </c>
      <c r="G327" s="58">
        <v>162079</v>
      </c>
      <c r="H327" s="69">
        <v>45146</v>
      </c>
      <c r="I327" s="58">
        <v>0.16</v>
      </c>
      <c r="J327" s="58">
        <v>1883764.79</v>
      </c>
    </row>
    <row r="328" spans="1:10" ht="15">
      <c r="A328" s="58" t="s">
        <v>741</v>
      </c>
      <c r="B328" s="58" t="s">
        <v>809</v>
      </c>
      <c r="C328" s="58" t="s">
        <v>795</v>
      </c>
      <c r="D328" s="58" t="s">
        <v>810</v>
      </c>
      <c r="E328" s="58">
        <v>2223088</v>
      </c>
      <c r="F328" s="58">
        <v>83</v>
      </c>
      <c r="G328" s="58">
        <v>75788</v>
      </c>
      <c r="H328" s="69">
        <v>45135</v>
      </c>
      <c r="I328" s="58">
        <v>0.01</v>
      </c>
      <c r="J328" s="58">
        <v>4253729.3600000003</v>
      </c>
    </row>
    <row r="329" spans="1:10" ht="15">
      <c r="A329" s="58" t="s">
        <v>743</v>
      </c>
      <c r="B329" s="58" t="s">
        <v>804</v>
      </c>
      <c r="C329" s="58" t="s">
        <v>788</v>
      </c>
      <c r="D329" s="58" t="s">
        <v>800</v>
      </c>
      <c r="E329" s="58">
        <v>2816974</v>
      </c>
      <c r="F329" s="58">
        <v>79</v>
      </c>
      <c r="G329" s="58">
        <v>311875</v>
      </c>
      <c r="H329" s="69">
        <v>45261</v>
      </c>
      <c r="I329" s="58">
        <v>0.04</v>
      </c>
      <c r="J329" s="58">
        <v>3392297.05</v>
      </c>
    </row>
    <row r="330" spans="1:10" ht="15">
      <c r="A330" s="58" t="s">
        <v>745</v>
      </c>
      <c r="B330" s="58" t="s">
        <v>809</v>
      </c>
      <c r="C330" s="58" t="s">
        <v>807</v>
      </c>
      <c r="D330" s="58" t="s">
        <v>791</v>
      </c>
      <c r="E330" s="58">
        <v>3690464</v>
      </c>
      <c r="F330" s="58">
        <v>9</v>
      </c>
      <c r="G330" s="58">
        <v>426880</v>
      </c>
      <c r="H330" s="69">
        <v>44566</v>
      </c>
      <c r="I330" s="58">
        <v>0.13</v>
      </c>
      <c r="J330" s="58">
        <v>1002377.22</v>
      </c>
    </row>
    <row r="331" spans="1:10" ht="15">
      <c r="A331" s="58" t="s">
        <v>744</v>
      </c>
      <c r="B331" s="58" t="s">
        <v>808</v>
      </c>
      <c r="C331" s="58" t="s">
        <v>795</v>
      </c>
      <c r="D331" s="58" t="s">
        <v>801</v>
      </c>
      <c r="E331" s="58">
        <v>3263366</v>
      </c>
      <c r="F331" s="58">
        <v>55</v>
      </c>
      <c r="G331" s="58">
        <v>149724</v>
      </c>
      <c r="H331" s="69">
        <v>44693</v>
      </c>
      <c r="I331" s="58">
        <v>0.46</v>
      </c>
      <c r="J331" s="58">
        <v>3857363.51</v>
      </c>
    </row>
    <row r="332" spans="1:10" ht="15">
      <c r="A332" s="58" t="s">
        <v>740</v>
      </c>
      <c r="B332" s="58" t="s">
        <v>804</v>
      </c>
      <c r="C332" s="58" t="s">
        <v>788</v>
      </c>
      <c r="D332" s="58" t="s">
        <v>801</v>
      </c>
      <c r="E332" s="58">
        <v>4208721</v>
      </c>
      <c r="F332" s="58">
        <v>55</v>
      </c>
      <c r="G332" s="58">
        <v>356726</v>
      </c>
      <c r="H332" s="69">
        <v>45513</v>
      </c>
      <c r="I332" s="58">
        <v>0.16</v>
      </c>
      <c r="J332" s="58">
        <v>2744712.2</v>
      </c>
    </row>
    <row r="333" spans="1:10" ht="15">
      <c r="A333" s="58" t="s">
        <v>747</v>
      </c>
      <c r="B333" s="58" t="s">
        <v>804</v>
      </c>
      <c r="C333" s="58" t="s">
        <v>807</v>
      </c>
      <c r="D333" s="58" t="s">
        <v>803</v>
      </c>
      <c r="E333" s="58">
        <v>845611</v>
      </c>
      <c r="F333" s="58">
        <v>64</v>
      </c>
      <c r="G333" s="58">
        <v>213845</v>
      </c>
      <c r="H333" s="69">
        <v>44753</v>
      </c>
      <c r="I333" s="58">
        <v>0.09</v>
      </c>
      <c r="J333" s="58">
        <v>2177369.91</v>
      </c>
    </row>
    <row r="334" spans="1:10" ht="15">
      <c r="A334" s="58" t="s">
        <v>747</v>
      </c>
      <c r="B334" s="58" t="s">
        <v>804</v>
      </c>
      <c r="C334" s="58" t="s">
        <v>809</v>
      </c>
      <c r="D334" s="58" t="s">
        <v>805</v>
      </c>
      <c r="E334" s="58">
        <v>2101114</v>
      </c>
      <c r="F334" s="58">
        <v>29</v>
      </c>
      <c r="G334" s="58">
        <v>137870</v>
      </c>
      <c r="H334" s="69">
        <v>45318</v>
      </c>
      <c r="I334" s="58">
        <v>0.25</v>
      </c>
      <c r="J334" s="58">
        <v>2390835</v>
      </c>
    </row>
    <row r="335" spans="1:10" ht="15">
      <c r="A335" s="58" t="s">
        <v>746</v>
      </c>
      <c r="B335" s="58" t="s">
        <v>792</v>
      </c>
      <c r="C335" s="58" t="s">
        <v>799</v>
      </c>
      <c r="D335" s="58" t="s">
        <v>810</v>
      </c>
      <c r="E335" s="58">
        <v>2281545</v>
      </c>
      <c r="F335" s="58">
        <v>28</v>
      </c>
      <c r="G335" s="58">
        <v>253901</v>
      </c>
      <c r="H335" s="69">
        <v>45148</v>
      </c>
      <c r="I335" s="58">
        <v>0.11</v>
      </c>
      <c r="J335" s="58">
        <v>1355202.8</v>
      </c>
    </row>
    <row r="336" spans="1:10" ht="15">
      <c r="A336" s="58" t="s">
        <v>740</v>
      </c>
      <c r="B336" s="58" t="s">
        <v>808</v>
      </c>
      <c r="C336" s="58" t="s">
        <v>798</v>
      </c>
      <c r="D336" s="58" t="s">
        <v>806</v>
      </c>
      <c r="E336" s="58">
        <v>3545964</v>
      </c>
      <c r="F336" s="58">
        <v>94</v>
      </c>
      <c r="G336" s="58">
        <v>67345</v>
      </c>
      <c r="H336" s="69">
        <v>44844</v>
      </c>
      <c r="I336" s="58">
        <v>0.03</v>
      </c>
      <c r="J336" s="58">
        <v>4663433.6100000003</v>
      </c>
    </row>
    <row r="337" spans="1:10" ht="15">
      <c r="A337" s="58" t="s">
        <v>747</v>
      </c>
      <c r="B337" s="58" t="s">
        <v>802</v>
      </c>
      <c r="C337" s="58" t="s">
        <v>798</v>
      </c>
      <c r="D337" s="58" t="s">
        <v>801</v>
      </c>
      <c r="E337" s="58">
        <v>171477</v>
      </c>
      <c r="F337" s="58">
        <v>18</v>
      </c>
      <c r="G337" s="58">
        <v>56011</v>
      </c>
      <c r="H337" s="69">
        <v>44638</v>
      </c>
      <c r="I337" s="58">
        <v>0.37</v>
      </c>
      <c r="J337" s="58">
        <v>521684.46</v>
      </c>
    </row>
    <row r="338" spans="1:10" ht="15">
      <c r="A338" s="58" t="s">
        <v>740</v>
      </c>
      <c r="B338" s="58" t="s">
        <v>814</v>
      </c>
      <c r="C338" s="58" t="s">
        <v>807</v>
      </c>
      <c r="D338" s="58" t="s">
        <v>805</v>
      </c>
      <c r="E338" s="58">
        <v>3216730</v>
      </c>
      <c r="F338" s="58">
        <v>68</v>
      </c>
      <c r="G338" s="58">
        <v>455677</v>
      </c>
      <c r="H338" s="69">
        <v>44976</v>
      </c>
      <c r="I338" s="58">
        <v>0.4</v>
      </c>
      <c r="J338" s="58">
        <v>362611.6</v>
      </c>
    </row>
    <row r="339" spans="1:10" ht="15">
      <c r="A339" s="58" t="s">
        <v>742</v>
      </c>
      <c r="B339" s="58" t="s">
        <v>809</v>
      </c>
      <c r="C339" s="58" t="s">
        <v>793</v>
      </c>
      <c r="D339" s="58" t="s">
        <v>811</v>
      </c>
      <c r="E339" s="58">
        <v>1973851</v>
      </c>
      <c r="F339" s="58">
        <v>84</v>
      </c>
      <c r="G339" s="58">
        <v>177949</v>
      </c>
      <c r="H339" s="69">
        <v>45240</v>
      </c>
      <c r="I339" s="58">
        <v>0.18</v>
      </c>
      <c r="J339" s="58">
        <v>1363031.61</v>
      </c>
    </row>
    <row r="340" spans="1:10" ht="15">
      <c r="A340" s="58" t="s">
        <v>746</v>
      </c>
      <c r="B340" s="58" t="s">
        <v>787</v>
      </c>
      <c r="C340" s="58" t="s">
        <v>799</v>
      </c>
      <c r="D340" s="58" t="s">
        <v>810</v>
      </c>
      <c r="E340" s="58">
        <v>3688184</v>
      </c>
      <c r="F340" s="58">
        <v>85</v>
      </c>
      <c r="G340" s="58">
        <v>121004</v>
      </c>
      <c r="H340" s="69">
        <v>45450</v>
      </c>
      <c r="I340" s="58">
        <v>0.26</v>
      </c>
      <c r="J340" s="58">
        <v>2307099.34</v>
      </c>
    </row>
    <row r="341" spans="1:10" ht="15">
      <c r="A341" s="58" t="s">
        <v>747</v>
      </c>
      <c r="B341" s="58" t="s">
        <v>802</v>
      </c>
      <c r="C341" s="58" t="s">
        <v>795</v>
      </c>
      <c r="D341" s="58" t="s">
        <v>810</v>
      </c>
      <c r="E341" s="58">
        <v>2775404</v>
      </c>
      <c r="F341" s="58">
        <v>96</v>
      </c>
      <c r="G341" s="58">
        <v>75728</v>
      </c>
      <c r="H341" s="69">
        <v>44777</v>
      </c>
      <c r="I341" s="58">
        <v>0.41</v>
      </c>
      <c r="J341" s="58">
        <v>481456.5</v>
      </c>
    </row>
    <row r="342" spans="1:10" ht="15">
      <c r="A342" s="58" t="s">
        <v>742</v>
      </c>
      <c r="B342" s="58" t="s">
        <v>804</v>
      </c>
      <c r="C342" s="58" t="s">
        <v>799</v>
      </c>
      <c r="D342" s="58" t="s">
        <v>806</v>
      </c>
      <c r="E342" s="58">
        <v>3098783</v>
      </c>
      <c r="F342" s="58">
        <v>6</v>
      </c>
      <c r="G342" s="58">
        <v>216955</v>
      </c>
      <c r="H342" s="69">
        <v>45070</v>
      </c>
      <c r="I342" s="58">
        <v>0.19</v>
      </c>
      <c r="J342" s="58">
        <v>2166460.92</v>
      </c>
    </row>
    <row r="343" spans="1:10" ht="15">
      <c r="A343" s="58" t="s">
        <v>745</v>
      </c>
      <c r="B343" s="58" t="s">
        <v>787</v>
      </c>
      <c r="C343" s="58" t="s">
        <v>793</v>
      </c>
      <c r="D343" s="58" t="s">
        <v>789</v>
      </c>
      <c r="E343" s="58">
        <v>1142727</v>
      </c>
      <c r="F343" s="58">
        <v>58</v>
      </c>
      <c r="G343" s="58">
        <v>244187</v>
      </c>
      <c r="H343" s="69">
        <v>44813</v>
      </c>
      <c r="I343" s="58">
        <v>0.13</v>
      </c>
      <c r="J343" s="58">
        <v>2293314.02</v>
      </c>
    </row>
    <row r="344" spans="1:10" ht="15">
      <c r="A344" s="58" t="s">
        <v>749</v>
      </c>
      <c r="B344" s="58" t="s">
        <v>802</v>
      </c>
      <c r="C344" s="58" t="s">
        <v>809</v>
      </c>
      <c r="D344" s="58" t="s">
        <v>791</v>
      </c>
      <c r="E344" s="58">
        <v>3386415</v>
      </c>
      <c r="F344" s="58">
        <v>66</v>
      </c>
      <c r="G344" s="58">
        <v>97321</v>
      </c>
      <c r="H344" s="69">
        <v>45274</v>
      </c>
      <c r="I344" s="58">
        <v>0.49</v>
      </c>
      <c r="J344" s="58">
        <v>3210636.63</v>
      </c>
    </row>
    <row r="345" spans="1:10" ht="15">
      <c r="A345" s="58" t="s">
        <v>741</v>
      </c>
      <c r="B345" s="58" t="s">
        <v>787</v>
      </c>
      <c r="C345" s="58" t="s">
        <v>788</v>
      </c>
      <c r="D345" s="58" t="s">
        <v>796</v>
      </c>
      <c r="E345" s="58">
        <v>679871</v>
      </c>
      <c r="F345" s="58">
        <v>15</v>
      </c>
      <c r="G345" s="58">
        <v>139026</v>
      </c>
      <c r="H345" s="69">
        <v>45357</v>
      </c>
      <c r="I345" s="58">
        <v>0.03</v>
      </c>
      <c r="J345" s="58">
        <v>2250669.2599999998</v>
      </c>
    </row>
    <row r="346" spans="1:10" ht="15">
      <c r="A346" s="58" t="s">
        <v>745</v>
      </c>
      <c r="B346" s="58" t="s">
        <v>809</v>
      </c>
      <c r="C346" s="58" t="s">
        <v>809</v>
      </c>
      <c r="D346" s="58" t="s">
        <v>812</v>
      </c>
      <c r="E346" s="58">
        <v>4161705</v>
      </c>
      <c r="F346" s="58">
        <v>64</v>
      </c>
      <c r="G346" s="58">
        <v>37821</v>
      </c>
      <c r="H346" s="69">
        <v>45571</v>
      </c>
      <c r="I346" s="58">
        <v>0.35</v>
      </c>
      <c r="J346" s="58">
        <v>826502.62</v>
      </c>
    </row>
    <row r="347" spans="1:10" ht="15">
      <c r="A347" s="58" t="s">
        <v>745</v>
      </c>
      <c r="B347" s="58" t="s">
        <v>792</v>
      </c>
      <c r="C347" s="58" t="s">
        <v>809</v>
      </c>
      <c r="D347" s="58" t="s">
        <v>810</v>
      </c>
      <c r="E347" s="58">
        <v>4096044</v>
      </c>
      <c r="F347" s="58">
        <v>76</v>
      </c>
      <c r="G347" s="58">
        <v>63773</v>
      </c>
      <c r="H347" s="69">
        <v>44563</v>
      </c>
      <c r="I347" s="58">
        <v>0.19</v>
      </c>
      <c r="J347" s="58">
        <v>1505591.84</v>
      </c>
    </row>
    <row r="348" spans="1:10" ht="15">
      <c r="A348" s="58" t="s">
        <v>744</v>
      </c>
      <c r="B348" s="58" t="s">
        <v>808</v>
      </c>
      <c r="C348" s="58" t="s">
        <v>799</v>
      </c>
      <c r="D348" s="58" t="s">
        <v>810</v>
      </c>
      <c r="E348" s="58">
        <v>3487479</v>
      </c>
      <c r="F348" s="58">
        <v>33</v>
      </c>
      <c r="G348" s="58">
        <v>209497</v>
      </c>
      <c r="H348" s="69">
        <v>45026</v>
      </c>
      <c r="I348" s="58">
        <v>0.01</v>
      </c>
      <c r="J348" s="58">
        <v>1066229.3999999999</v>
      </c>
    </row>
    <row r="349" spans="1:10" ht="15">
      <c r="A349" s="58" t="s">
        <v>745</v>
      </c>
      <c r="B349" s="58" t="s">
        <v>792</v>
      </c>
      <c r="C349" s="58" t="s">
        <v>799</v>
      </c>
      <c r="D349" s="58" t="s">
        <v>789</v>
      </c>
      <c r="E349" s="58">
        <v>2470150</v>
      </c>
      <c r="F349" s="58">
        <v>40</v>
      </c>
      <c r="G349" s="58">
        <v>473506</v>
      </c>
      <c r="H349" s="69">
        <v>44905</v>
      </c>
      <c r="I349" s="58">
        <v>0.13</v>
      </c>
      <c r="J349" s="58">
        <v>2197660.9</v>
      </c>
    </row>
    <row r="350" spans="1:10" ht="15">
      <c r="A350" s="58" t="s">
        <v>740</v>
      </c>
      <c r="B350" s="58" t="s">
        <v>787</v>
      </c>
      <c r="C350" s="58" t="s">
        <v>798</v>
      </c>
      <c r="D350" s="58" t="s">
        <v>812</v>
      </c>
      <c r="E350" s="58">
        <v>4275359</v>
      </c>
      <c r="F350" s="58">
        <v>69</v>
      </c>
      <c r="G350" s="58">
        <v>484967</v>
      </c>
      <c r="H350" s="69">
        <v>45056</v>
      </c>
      <c r="I350" s="58">
        <v>0.04</v>
      </c>
      <c r="J350" s="58">
        <v>569821.15</v>
      </c>
    </row>
    <row r="351" spans="1:10" ht="15">
      <c r="A351" s="58" t="s">
        <v>742</v>
      </c>
      <c r="B351" s="58" t="s">
        <v>790</v>
      </c>
      <c r="C351" s="58" t="s">
        <v>809</v>
      </c>
      <c r="D351" s="58" t="s">
        <v>810</v>
      </c>
      <c r="E351" s="58">
        <v>307811</v>
      </c>
      <c r="F351" s="58">
        <v>39</v>
      </c>
      <c r="G351" s="58">
        <v>46824</v>
      </c>
      <c r="H351" s="69">
        <v>44768</v>
      </c>
      <c r="I351" s="58">
        <v>0.33</v>
      </c>
      <c r="J351" s="58">
        <v>550851.36</v>
      </c>
    </row>
    <row r="352" spans="1:10" ht="15">
      <c r="A352" s="58" t="s">
        <v>746</v>
      </c>
      <c r="B352" s="58" t="s">
        <v>808</v>
      </c>
      <c r="C352" s="58" t="s">
        <v>807</v>
      </c>
      <c r="D352" s="58" t="s">
        <v>813</v>
      </c>
      <c r="E352" s="58">
        <v>4093408</v>
      </c>
      <c r="F352" s="58">
        <v>75</v>
      </c>
      <c r="G352" s="58">
        <v>247128</v>
      </c>
      <c r="H352" s="69">
        <v>44740</v>
      </c>
      <c r="I352" s="58">
        <v>0.36</v>
      </c>
      <c r="J352" s="58">
        <v>1923870.96</v>
      </c>
    </row>
    <row r="353" spans="1:10" ht="15">
      <c r="A353" s="58" t="s">
        <v>740</v>
      </c>
      <c r="B353" s="58" t="s">
        <v>797</v>
      </c>
      <c r="C353" s="58" t="s">
        <v>793</v>
      </c>
      <c r="D353" s="58" t="s">
        <v>800</v>
      </c>
      <c r="E353" s="58">
        <v>2855395</v>
      </c>
      <c r="F353" s="58">
        <v>78</v>
      </c>
      <c r="G353" s="58">
        <v>490057</v>
      </c>
      <c r="H353" s="69">
        <v>45174</v>
      </c>
      <c r="I353" s="58">
        <v>0.35</v>
      </c>
      <c r="J353" s="58">
        <v>2395228.4700000002</v>
      </c>
    </row>
    <row r="354" spans="1:10" ht="15">
      <c r="A354" s="58" t="s">
        <v>747</v>
      </c>
      <c r="B354" s="58" t="s">
        <v>797</v>
      </c>
      <c r="C354" s="58" t="s">
        <v>809</v>
      </c>
      <c r="D354" s="58" t="s">
        <v>805</v>
      </c>
      <c r="E354" s="58">
        <v>2412550</v>
      </c>
      <c r="F354" s="58">
        <v>94</v>
      </c>
      <c r="G354" s="58">
        <v>172918</v>
      </c>
      <c r="H354" s="69">
        <v>44916</v>
      </c>
      <c r="I354" s="58">
        <v>0.14000000000000001</v>
      </c>
      <c r="J354" s="58">
        <v>1061941.92</v>
      </c>
    </row>
    <row r="355" spans="1:10" ht="15">
      <c r="A355" s="58" t="s">
        <v>742</v>
      </c>
      <c r="B355" s="58" t="s">
        <v>802</v>
      </c>
      <c r="C355" s="58" t="s">
        <v>788</v>
      </c>
      <c r="D355" s="58" t="s">
        <v>801</v>
      </c>
      <c r="E355" s="58">
        <v>3872723</v>
      </c>
      <c r="F355" s="58">
        <v>1</v>
      </c>
      <c r="G355" s="58">
        <v>400159</v>
      </c>
      <c r="H355" s="69">
        <v>45171</v>
      </c>
      <c r="I355" s="58">
        <v>0.28000000000000003</v>
      </c>
      <c r="J355" s="58">
        <v>1334006.67</v>
      </c>
    </row>
    <row r="356" spans="1:10" ht="15">
      <c r="A356" s="58" t="s">
        <v>748</v>
      </c>
      <c r="B356" s="58" t="s">
        <v>809</v>
      </c>
      <c r="C356" s="58" t="s">
        <v>809</v>
      </c>
      <c r="D356" s="58" t="s">
        <v>810</v>
      </c>
      <c r="E356" s="58">
        <v>4609292</v>
      </c>
      <c r="F356" s="58">
        <v>1</v>
      </c>
      <c r="G356" s="58">
        <v>282751</v>
      </c>
      <c r="H356" s="69">
        <v>44786</v>
      </c>
      <c r="I356" s="58">
        <v>0.11</v>
      </c>
      <c r="J356" s="58">
        <v>2764962.2</v>
      </c>
    </row>
    <row r="357" spans="1:10" ht="15">
      <c r="A357" s="58" t="s">
        <v>748</v>
      </c>
      <c r="B357" s="58" t="s">
        <v>804</v>
      </c>
      <c r="C357" s="58" t="s">
        <v>795</v>
      </c>
      <c r="D357" s="58" t="s">
        <v>805</v>
      </c>
      <c r="E357" s="58">
        <v>3502414</v>
      </c>
      <c r="F357" s="58">
        <v>78</v>
      </c>
      <c r="G357" s="58">
        <v>99911</v>
      </c>
      <c r="H357" s="69">
        <v>45287</v>
      </c>
      <c r="I357" s="58">
        <v>0.48</v>
      </c>
      <c r="J357" s="58">
        <v>1526029.92</v>
      </c>
    </row>
    <row r="358" spans="1:10" ht="15">
      <c r="A358" s="58" t="s">
        <v>749</v>
      </c>
      <c r="B358" s="58" t="s">
        <v>804</v>
      </c>
      <c r="C358" s="58" t="s">
        <v>799</v>
      </c>
      <c r="D358" s="58" t="s">
        <v>812</v>
      </c>
      <c r="E358" s="58">
        <v>3664373</v>
      </c>
      <c r="F358" s="58">
        <v>22</v>
      </c>
      <c r="G358" s="58">
        <v>356062</v>
      </c>
      <c r="H358" s="69">
        <v>44830</v>
      </c>
      <c r="I358" s="58">
        <v>0.17</v>
      </c>
      <c r="J358" s="58">
        <v>4061198.96</v>
      </c>
    </row>
    <row r="359" spans="1:10" ht="15">
      <c r="A359" s="58" t="s">
        <v>742</v>
      </c>
      <c r="B359" s="58" t="s">
        <v>802</v>
      </c>
      <c r="C359" s="58" t="s">
        <v>798</v>
      </c>
      <c r="D359" s="58" t="s">
        <v>796</v>
      </c>
      <c r="E359" s="58">
        <v>556040</v>
      </c>
      <c r="F359" s="58">
        <v>17</v>
      </c>
      <c r="G359" s="58">
        <v>396659</v>
      </c>
      <c r="H359" s="69">
        <v>45098</v>
      </c>
      <c r="I359" s="58">
        <v>0.02</v>
      </c>
      <c r="J359" s="58">
        <v>2432241.7599999998</v>
      </c>
    </row>
    <row r="360" spans="1:10" ht="15">
      <c r="A360" s="55" t="s">
        <v>740</v>
      </c>
      <c r="B360" s="56" t="s">
        <v>809</v>
      </c>
      <c r="C360" s="56" t="s">
        <v>798</v>
      </c>
      <c r="D360" s="56" t="s">
        <v>791</v>
      </c>
      <c r="E360" s="56">
        <v>44075</v>
      </c>
      <c r="F360" s="56">
        <v>80</v>
      </c>
      <c r="G360" s="56">
        <v>24688</v>
      </c>
      <c r="H360" s="68">
        <v>44899</v>
      </c>
      <c r="I360" s="56">
        <v>0.41</v>
      </c>
      <c r="J360" s="56">
        <v>3695464.08</v>
      </c>
    </row>
    <row r="361" spans="1:10" ht="15">
      <c r="A361" s="58" t="s">
        <v>744</v>
      </c>
      <c r="B361" s="58" t="s">
        <v>814</v>
      </c>
      <c r="C361" s="58" t="s">
        <v>798</v>
      </c>
      <c r="D361" s="58" t="s">
        <v>812</v>
      </c>
      <c r="E361" s="58">
        <v>4572955</v>
      </c>
      <c r="F361" s="58">
        <v>19</v>
      </c>
      <c r="G361" s="58">
        <v>491150</v>
      </c>
      <c r="H361" s="69">
        <v>45532</v>
      </c>
      <c r="I361" s="58">
        <v>0.11</v>
      </c>
      <c r="J361" s="58">
        <v>2158056.48</v>
      </c>
    </row>
    <row r="362" spans="1:10" ht="15">
      <c r="A362" s="58" t="s">
        <v>744</v>
      </c>
      <c r="B362" s="58" t="s">
        <v>814</v>
      </c>
      <c r="C362" s="58" t="s">
        <v>788</v>
      </c>
      <c r="D362" s="58" t="s">
        <v>805</v>
      </c>
      <c r="E362" s="58">
        <v>3303394</v>
      </c>
      <c r="F362" s="58">
        <v>5</v>
      </c>
      <c r="G362" s="58">
        <v>151449</v>
      </c>
      <c r="H362" s="69">
        <v>44849</v>
      </c>
      <c r="I362" s="58">
        <v>0.42</v>
      </c>
      <c r="J362" s="58">
        <v>4211432</v>
      </c>
    </row>
    <row r="363" spans="1:10" ht="15">
      <c r="A363" s="58" t="s">
        <v>740</v>
      </c>
      <c r="B363" s="58" t="s">
        <v>797</v>
      </c>
      <c r="C363" s="58" t="s">
        <v>799</v>
      </c>
      <c r="D363" s="58" t="s">
        <v>796</v>
      </c>
      <c r="E363" s="58">
        <v>3858322</v>
      </c>
      <c r="F363" s="58">
        <v>73</v>
      </c>
      <c r="G363" s="58">
        <v>294174</v>
      </c>
      <c r="H363" s="69">
        <v>45576</v>
      </c>
      <c r="I363" s="58">
        <v>0.38</v>
      </c>
      <c r="J363" s="58">
        <v>4483848.88</v>
      </c>
    </row>
    <row r="364" spans="1:10" ht="15">
      <c r="A364" s="58" t="s">
        <v>743</v>
      </c>
      <c r="B364" s="58" t="s">
        <v>802</v>
      </c>
      <c r="C364" s="58" t="s">
        <v>795</v>
      </c>
      <c r="D364" s="58" t="s">
        <v>806</v>
      </c>
      <c r="E364" s="58">
        <v>626533</v>
      </c>
      <c r="F364" s="58">
        <v>29</v>
      </c>
      <c r="G364" s="58">
        <v>445813</v>
      </c>
      <c r="H364" s="69">
        <v>45637</v>
      </c>
      <c r="I364" s="58">
        <v>0.23</v>
      </c>
      <c r="J364" s="58">
        <v>883844.94</v>
      </c>
    </row>
    <row r="365" spans="1:10" ht="15">
      <c r="A365" s="58" t="s">
        <v>740</v>
      </c>
      <c r="B365" s="58" t="s">
        <v>804</v>
      </c>
      <c r="C365" s="58" t="s">
        <v>788</v>
      </c>
      <c r="D365" s="58" t="s">
        <v>789</v>
      </c>
      <c r="E365" s="58">
        <v>656087</v>
      </c>
      <c r="F365" s="58">
        <v>24</v>
      </c>
      <c r="G365" s="58">
        <v>135032</v>
      </c>
      <c r="H365" s="69">
        <v>44642</v>
      </c>
      <c r="I365" s="58">
        <v>0.08</v>
      </c>
      <c r="J365" s="58">
        <v>1001404.22</v>
      </c>
    </row>
    <row r="366" spans="1:10" ht="15">
      <c r="A366" s="58" t="s">
        <v>740</v>
      </c>
      <c r="B366" s="58" t="s">
        <v>797</v>
      </c>
      <c r="C366" s="58" t="s">
        <v>795</v>
      </c>
      <c r="D366" s="58" t="s">
        <v>811</v>
      </c>
      <c r="E366" s="58">
        <v>4362049</v>
      </c>
      <c r="F366" s="58">
        <v>53</v>
      </c>
      <c r="G366" s="58">
        <v>36293</v>
      </c>
      <c r="H366" s="69">
        <v>44814</v>
      </c>
      <c r="I366" s="58">
        <v>0.14000000000000001</v>
      </c>
      <c r="J366" s="58">
        <v>1038744.63</v>
      </c>
    </row>
    <row r="367" spans="1:10" ht="15">
      <c r="A367" s="58" t="s">
        <v>741</v>
      </c>
      <c r="B367" s="58" t="s">
        <v>792</v>
      </c>
      <c r="C367" s="58" t="s">
        <v>798</v>
      </c>
      <c r="D367" s="58" t="s">
        <v>803</v>
      </c>
      <c r="E367" s="58">
        <v>1546186</v>
      </c>
      <c r="F367" s="58">
        <v>56</v>
      </c>
      <c r="G367" s="58">
        <v>376115</v>
      </c>
      <c r="H367" s="69">
        <v>44989</v>
      </c>
      <c r="I367" s="58">
        <v>0.15</v>
      </c>
      <c r="J367" s="58">
        <v>1468225.55</v>
      </c>
    </row>
    <row r="368" spans="1:10" ht="15">
      <c r="A368" s="58" t="s">
        <v>744</v>
      </c>
      <c r="B368" s="58" t="s">
        <v>808</v>
      </c>
      <c r="C368" s="58" t="s">
        <v>799</v>
      </c>
      <c r="D368" s="58" t="s">
        <v>815</v>
      </c>
      <c r="E368" s="58">
        <v>258391</v>
      </c>
      <c r="F368" s="58">
        <v>57</v>
      </c>
      <c r="G368" s="58">
        <v>92970</v>
      </c>
      <c r="H368" s="69">
        <v>45538</v>
      </c>
      <c r="I368" s="58">
        <v>0.39</v>
      </c>
      <c r="J368" s="58">
        <v>2934268.47</v>
      </c>
    </row>
    <row r="369" spans="1:10" ht="15">
      <c r="A369" s="58" t="s">
        <v>749</v>
      </c>
      <c r="B369" s="58" t="s">
        <v>809</v>
      </c>
      <c r="C369" s="58" t="s">
        <v>807</v>
      </c>
      <c r="D369" s="58" t="s">
        <v>806</v>
      </c>
      <c r="E369" s="58">
        <v>4566084</v>
      </c>
      <c r="F369" s="58">
        <v>83</v>
      </c>
      <c r="G369" s="58">
        <v>153791</v>
      </c>
      <c r="H369" s="69">
        <v>44793</v>
      </c>
      <c r="I369" s="58">
        <v>0.02</v>
      </c>
      <c r="J369" s="58">
        <v>2789066.28</v>
      </c>
    </row>
    <row r="370" spans="1:10" ht="15">
      <c r="A370" s="58" t="s">
        <v>742</v>
      </c>
      <c r="B370" s="58" t="s">
        <v>802</v>
      </c>
      <c r="C370" s="58" t="s">
        <v>799</v>
      </c>
      <c r="D370" s="58" t="s">
        <v>791</v>
      </c>
      <c r="E370" s="58">
        <v>3114960</v>
      </c>
      <c r="F370" s="58">
        <v>85</v>
      </c>
      <c r="G370" s="58">
        <v>141387</v>
      </c>
      <c r="H370" s="69">
        <v>44691</v>
      </c>
      <c r="I370" s="58">
        <v>0.03</v>
      </c>
      <c r="J370" s="58">
        <v>1761474.06</v>
      </c>
    </row>
    <row r="371" spans="1:10" ht="15">
      <c r="A371" s="58" t="s">
        <v>747</v>
      </c>
      <c r="B371" s="58" t="s">
        <v>802</v>
      </c>
      <c r="C371" s="58" t="s">
        <v>809</v>
      </c>
      <c r="D371" s="58" t="s">
        <v>806</v>
      </c>
      <c r="E371" s="58">
        <v>3211562</v>
      </c>
      <c r="F371" s="58">
        <v>98</v>
      </c>
      <c r="G371" s="58">
        <v>396043</v>
      </c>
      <c r="H371" s="69">
        <v>44979</v>
      </c>
      <c r="I371" s="58">
        <v>0.38</v>
      </c>
      <c r="J371" s="58">
        <v>608127.36</v>
      </c>
    </row>
    <row r="372" spans="1:10" ht="15">
      <c r="A372" s="58" t="s">
        <v>740</v>
      </c>
      <c r="B372" s="58" t="s">
        <v>790</v>
      </c>
      <c r="C372" s="58" t="s">
        <v>798</v>
      </c>
      <c r="D372" s="58" t="s">
        <v>791</v>
      </c>
      <c r="E372" s="58">
        <v>1902944</v>
      </c>
      <c r="F372" s="58">
        <v>91</v>
      </c>
      <c r="G372" s="58">
        <v>283574</v>
      </c>
      <c r="H372" s="69">
        <v>44928</v>
      </c>
      <c r="I372" s="58">
        <v>0.42</v>
      </c>
      <c r="J372" s="58">
        <v>2248335.0299999998</v>
      </c>
    </row>
    <row r="373" spans="1:10" ht="15">
      <c r="A373" s="58" t="s">
        <v>743</v>
      </c>
      <c r="B373" s="58" t="s">
        <v>792</v>
      </c>
      <c r="C373" s="58" t="s">
        <v>795</v>
      </c>
      <c r="D373" s="58" t="s">
        <v>815</v>
      </c>
      <c r="E373" s="58">
        <v>1291083</v>
      </c>
      <c r="F373" s="58">
        <v>65</v>
      </c>
      <c r="G373" s="58">
        <v>478969</v>
      </c>
      <c r="H373" s="69">
        <v>44985</v>
      </c>
      <c r="I373" s="58">
        <v>0.43</v>
      </c>
      <c r="J373" s="58">
        <v>2171441.86</v>
      </c>
    </row>
    <row r="374" spans="1:10" ht="15">
      <c r="A374" s="58" t="s">
        <v>748</v>
      </c>
      <c r="B374" s="58" t="s">
        <v>809</v>
      </c>
      <c r="C374" s="58" t="s">
        <v>809</v>
      </c>
      <c r="D374" s="58" t="s">
        <v>811</v>
      </c>
      <c r="E374" s="58">
        <v>3962122</v>
      </c>
      <c r="F374" s="58">
        <v>13</v>
      </c>
      <c r="G374" s="58">
        <v>428765</v>
      </c>
      <c r="H374" s="69">
        <v>44584</v>
      </c>
      <c r="I374" s="58">
        <v>0.39</v>
      </c>
      <c r="J374" s="58">
        <v>1078974.1599999999</v>
      </c>
    </row>
    <row r="375" spans="1:10" ht="15">
      <c r="A375" s="58" t="s">
        <v>749</v>
      </c>
      <c r="B375" s="58" t="s">
        <v>809</v>
      </c>
      <c r="C375" s="58" t="s">
        <v>795</v>
      </c>
      <c r="D375" s="58" t="s">
        <v>789</v>
      </c>
      <c r="E375" s="58">
        <v>621552</v>
      </c>
      <c r="F375" s="58">
        <v>90</v>
      </c>
      <c r="G375" s="58">
        <v>430163</v>
      </c>
      <c r="H375" s="69">
        <v>45364</v>
      </c>
      <c r="I375" s="58">
        <v>0.43</v>
      </c>
      <c r="J375" s="58">
        <v>2688309.25</v>
      </c>
    </row>
    <row r="376" spans="1:10" ht="15">
      <c r="A376" s="58" t="s">
        <v>745</v>
      </c>
      <c r="B376" s="58" t="s">
        <v>787</v>
      </c>
      <c r="C376" s="58" t="s">
        <v>798</v>
      </c>
      <c r="D376" s="58" t="s">
        <v>812</v>
      </c>
      <c r="E376" s="58">
        <v>562780</v>
      </c>
      <c r="F376" s="58">
        <v>83</v>
      </c>
      <c r="G376" s="58">
        <v>411016</v>
      </c>
      <c r="H376" s="69">
        <v>45079</v>
      </c>
      <c r="I376" s="58">
        <v>0.12</v>
      </c>
      <c r="J376" s="58">
        <v>860459.56</v>
      </c>
    </row>
    <row r="377" spans="1:10" ht="15">
      <c r="A377" s="58" t="s">
        <v>740</v>
      </c>
      <c r="B377" s="58" t="s">
        <v>808</v>
      </c>
      <c r="C377" s="58" t="s">
        <v>807</v>
      </c>
      <c r="D377" s="58" t="s">
        <v>812</v>
      </c>
      <c r="E377" s="58">
        <v>2980128</v>
      </c>
      <c r="F377" s="58">
        <v>16</v>
      </c>
      <c r="G377" s="58">
        <v>277282</v>
      </c>
      <c r="H377" s="69">
        <v>45378</v>
      </c>
      <c r="I377" s="58">
        <v>0.25</v>
      </c>
      <c r="J377" s="58">
        <v>826377.33</v>
      </c>
    </row>
    <row r="378" spans="1:10" ht="15">
      <c r="A378" s="58" t="s">
        <v>744</v>
      </c>
      <c r="B378" s="58" t="s">
        <v>802</v>
      </c>
      <c r="C378" s="58" t="s">
        <v>798</v>
      </c>
      <c r="D378" s="58" t="s">
        <v>811</v>
      </c>
      <c r="E378" s="58">
        <v>1457778</v>
      </c>
      <c r="F378" s="58">
        <v>87</v>
      </c>
      <c r="G378" s="58">
        <v>95445</v>
      </c>
      <c r="H378" s="69">
        <v>44615</v>
      </c>
      <c r="I378" s="58">
        <v>0.25</v>
      </c>
      <c r="J378" s="58">
        <v>2279454.87</v>
      </c>
    </row>
    <row r="379" spans="1:10" ht="15">
      <c r="A379" s="58" t="s">
        <v>745</v>
      </c>
      <c r="B379" s="58" t="s">
        <v>802</v>
      </c>
      <c r="C379" s="58" t="s">
        <v>807</v>
      </c>
      <c r="D379" s="58" t="s">
        <v>812</v>
      </c>
      <c r="E379" s="58">
        <v>1351898</v>
      </c>
      <c r="F379" s="58">
        <v>52</v>
      </c>
      <c r="G379" s="58">
        <v>448513</v>
      </c>
      <c r="H379" s="69">
        <v>44686</v>
      </c>
      <c r="I379" s="58">
        <v>0.1</v>
      </c>
      <c r="J379" s="58">
        <v>3103119</v>
      </c>
    </row>
    <row r="380" spans="1:10" ht="15">
      <c r="A380" s="58" t="s">
        <v>740</v>
      </c>
      <c r="B380" s="58" t="s">
        <v>808</v>
      </c>
      <c r="C380" s="58" t="s">
        <v>798</v>
      </c>
      <c r="D380" s="58" t="s">
        <v>796</v>
      </c>
      <c r="E380" s="58">
        <v>518470</v>
      </c>
      <c r="F380" s="58">
        <v>78</v>
      </c>
      <c r="G380" s="58">
        <v>102630</v>
      </c>
      <c r="H380" s="69">
        <v>44816</v>
      </c>
      <c r="I380" s="58">
        <v>0.2</v>
      </c>
      <c r="J380" s="58">
        <v>3875436.64</v>
      </c>
    </row>
    <row r="381" spans="1:10" ht="15">
      <c r="A381" s="58" t="s">
        <v>748</v>
      </c>
      <c r="B381" s="58" t="s">
        <v>804</v>
      </c>
      <c r="C381" s="58" t="s">
        <v>788</v>
      </c>
      <c r="D381" s="58" t="s">
        <v>811</v>
      </c>
      <c r="E381" s="58">
        <v>1901095</v>
      </c>
      <c r="F381" s="58">
        <v>58</v>
      </c>
      <c r="G381" s="58">
        <v>498772</v>
      </c>
      <c r="H381" s="69">
        <v>44661</v>
      </c>
      <c r="I381" s="58">
        <v>0.35</v>
      </c>
      <c r="J381" s="58">
        <v>36940.28</v>
      </c>
    </row>
    <row r="382" spans="1:10" ht="15">
      <c r="A382" s="58" t="s">
        <v>742</v>
      </c>
      <c r="B382" s="58" t="s">
        <v>790</v>
      </c>
      <c r="C382" s="58" t="s">
        <v>799</v>
      </c>
      <c r="D382" s="58" t="s">
        <v>796</v>
      </c>
      <c r="E382" s="58">
        <v>786215</v>
      </c>
      <c r="F382" s="58">
        <v>100</v>
      </c>
      <c r="G382" s="58">
        <v>370405</v>
      </c>
      <c r="H382" s="69">
        <v>44696</v>
      </c>
      <c r="I382" s="58">
        <v>0.37</v>
      </c>
      <c r="J382" s="58">
        <v>320410.2</v>
      </c>
    </row>
    <row r="383" spans="1:10" ht="15">
      <c r="A383" s="58" t="s">
        <v>742</v>
      </c>
      <c r="B383" s="58" t="s">
        <v>804</v>
      </c>
      <c r="C383" s="58" t="s">
        <v>795</v>
      </c>
      <c r="D383" s="58" t="s">
        <v>806</v>
      </c>
      <c r="E383" s="58">
        <v>495189</v>
      </c>
      <c r="F383" s="58">
        <v>76</v>
      </c>
      <c r="G383" s="58">
        <v>384445</v>
      </c>
      <c r="H383" s="69">
        <v>45618</v>
      </c>
      <c r="I383" s="58">
        <v>0.09</v>
      </c>
      <c r="J383" s="58">
        <v>314038.68</v>
      </c>
    </row>
    <row r="384" spans="1:10" ht="15">
      <c r="A384" s="58" t="s">
        <v>744</v>
      </c>
      <c r="B384" s="58" t="s">
        <v>792</v>
      </c>
      <c r="C384" s="58" t="s">
        <v>798</v>
      </c>
      <c r="D384" s="58" t="s">
        <v>815</v>
      </c>
      <c r="E384" s="58">
        <v>1274391</v>
      </c>
      <c r="F384" s="58">
        <v>33</v>
      </c>
      <c r="G384" s="58">
        <v>66782</v>
      </c>
      <c r="H384" s="69">
        <v>45144</v>
      </c>
      <c r="I384" s="58">
        <v>0.4</v>
      </c>
      <c r="J384" s="58">
        <v>4377237.0999999996</v>
      </c>
    </row>
    <row r="385" spans="1:10" ht="15">
      <c r="A385" s="58" t="s">
        <v>746</v>
      </c>
      <c r="B385" s="58" t="s">
        <v>804</v>
      </c>
      <c r="C385" s="58" t="s">
        <v>799</v>
      </c>
      <c r="D385" s="58" t="s">
        <v>806</v>
      </c>
      <c r="E385" s="58">
        <v>298403</v>
      </c>
      <c r="F385" s="58">
        <v>55</v>
      </c>
      <c r="G385" s="58">
        <v>275447</v>
      </c>
      <c r="H385" s="69">
        <v>44817</v>
      </c>
      <c r="I385" s="58">
        <v>0</v>
      </c>
      <c r="J385" s="58">
        <v>599524.71</v>
      </c>
    </row>
    <row r="386" spans="1:10" ht="15">
      <c r="A386" s="58" t="s">
        <v>743</v>
      </c>
      <c r="B386" s="58" t="s">
        <v>787</v>
      </c>
      <c r="C386" s="58" t="s">
        <v>793</v>
      </c>
      <c r="D386" s="58" t="s">
        <v>811</v>
      </c>
      <c r="E386" s="58">
        <v>4198709</v>
      </c>
      <c r="F386" s="58">
        <v>99</v>
      </c>
      <c r="G386" s="58">
        <v>488205</v>
      </c>
      <c r="H386" s="69">
        <v>44945</v>
      </c>
      <c r="I386" s="58">
        <v>0.3</v>
      </c>
      <c r="J386" s="58">
        <v>493472</v>
      </c>
    </row>
    <row r="387" spans="1:10" ht="15">
      <c r="A387" s="58" t="s">
        <v>743</v>
      </c>
      <c r="B387" s="58" t="s">
        <v>809</v>
      </c>
      <c r="C387" s="58" t="s">
        <v>788</v>
      </c>
      <c r="D387" s="58" t="s">
        <v>810</v>
      </c>
      <c r="E387" s="58">
        <v>4772800</v>
      </c>
      <c r="F387" s="58">
        <v>52</v>
      </c>
      <c r="G387" s="58">
        <v>187090</v>
      </c>
      <c r="H387" s="69">
        <v>44578</v>
      </c>
      <c r="I387" s="58">
        <v>0.49</v>
      </c>
      <c r="J387" s="58">
        <v>2856043.54</v>
      </c>
    </row>
    <row r="388" spans="1:10" ht="15">
      <c r="A388" s="58" t="s">
        <v>749</v>
      </c>
      <c r="B388" s="58" t="s">
        <v>792</v>
      </c>
      <c r="C388" s="58" t="s">
        <v>799</v>
      </c>
      <c r="D388" s="58" t="s">
        <v>805</v>
      </c>
      <c r="E388" s="58">
        <v>3524190</v>
      </c>
      <c r="F388" s="58">
        <v>80</v>
      </c>
      <c r="G388" s="58">
        <v>456843</v>
      </c>
      <c r="H388" s="69">
        <v>44666</v>
      </c>
      <c r="I388" s="58">
        <v>0.1</v>
      </c>
      <c r="J388" s="58">
        <v>2258208.7999999998</v>
      </c>
    </row>
    <row r="389" spans="1:10" ht="15">
      <c r="A389" s="58" t="s">
        <v>741</v>
      </c>
      <c r="B389" s="58" t="s">
        <v>797</v>
      </c>
      <c r="C389" s="58" t="s">
        <v>795</v>
      </c>
      <c r="D389" s="58" t="s">
        <v>805</v>
      </c>
      <c r="E389" s="58">
        <v>917232</v>
      </c>
      <c r="F389" s="58">
        <v>6</v>
      </c>
      <c r="G389" s="58">
        <v>136470</v>
      </c>
      <c r="H389" s="69">
        <v>45497</v>
      </c>
      <c r="I389" s="58">
        <v>0.38</v>
      </c>
      <c r="J389" s="58">
        <v>3364584.44</v>
      </c>
    </row>
    <row r="390" spans="1:10" ht="15">
      <c r="A390" s="58" t="s">
        <v>740</v>
      </c>
      <c r="B390" s="58" t="s">
        <v>790</v>
      </c>
      <c r="C390" s="58" t="s">
        <v>788</v>
      </c>
      <c r="D390" s="58" t="s">
        <v>789</v>
      </c>
      <c r="E390" s="58">
        <v>2833360</v>
      </c>
      <c r="F390" s="58">
        <v>4</v>
      </c>
      <c r="G390" s="58">
        <v>306957</v>
      </c>
      <c r="H390" s="69">
        <v>45479</v>
      </c>
      <c r="I390" s="58">
        <v>0.37</v>
      </c>
      <c r="J390" s="58">
        <v>1658613.74</v>
      </c>
    </row>
    <row r="391" spans="1:10" ht="15">
      <c r="A391" s="58" t="s">
        <v>748</v>
      </c>
      <c r="B391" s="58" t="s">
        <v>794</v>
      </c>
      <c r="C391" s="58" t="s">
        <v>795</v>
      </c>
      <c r="D391" s="58" t="s">
        <v>810</v>
      </c>
      <c r="E391" s="58">
        <v>2898386</v>
      </c>
      <c r="F391" s="58">
        <v>48</v>
      </c>
      <c r="G391" s="58">
        <v>318892</v>
      </c>
      <c r="H391" s="69">
        <v>45514</v>
      </c>
      <c r="I391" s="58">
        <v>0.2</v>
      </c>
      <c r="J391" s="58">
        <v>2734682.72</v>
      </c>
    </row>
    <row r="392" spans="1:10" ht="15">
      <c r="A392" s="58" t="s">
        <v>744</v>
      </c>
      <c r="B392" s="58" t="s">
        <v>790</v>
      </c>
      <c r="C392" s="58" t="s">
        <v>788</v>
      </c>
      <c r="D392" s="58" t="s">
        <v>803</v>
      </c>
      <c r="E392" s="58">
        <v>3348747</v>
      </c>
      <c r="F392" s="58">
        <v>36</v>
      </c>
      <c r="G392" s="58">
        <v>132005</v>
      </c>
      <c r="H392" s="69">
        <v>44866</v>
      </c>
      <c r="I392" s="58">
        <v>0.44</v>
      </c>
      <c r="J392" s="58">
        <v>889791.98</v>
      </c>
    </row>
    <row r="393" spans="1:10" ht="15">
      <c r="A393" s="58" t="s">
        <v>743</v>
      </c>
      <c r="B393" s="58" t="s">
        <v>794</v>
      </c>
      <c r="C393" s="58" t="s">
        <v>809</v>
      </c>
      <c r="D393" s="58" t="s">
        <v>800</v>
      </c>
      <c r="E393" s="58">
        <v>485296</v>
      </c>
      <c r="F393" s="58">
        <v>92</v>
      </c>
      <c r="G393" s="58">
        <v>15535</v>
      </c>
      <c r="H393" s="69">
        <v>45009</v>
      </c>
      <c r="I393" s="58">
        <v>0.49</v>
      </c>
      <c r="J393" s="58">
        <v>1448163.14</v>
      </c>
    </row>
    <row r="394" spans="1:10" ht="15">
      <c r="A394" s="58" t="s">
        <v>746</v>
      </c>
      <c r="B394" s="58" t="s">
        <v>802</v>
      </c>
      <c r="C394" s="58" t="s">
        <v>809</v>
      </c>
      <c r="D394" s="58" t="s">
        <v>812</v>
      </c>
      <c r="E394" s="58">
        <v>4953431</v>
      </c>
      <c r="F394" s="58">
        <v>1</v>
      </c>
      <c r="G394" s="58">
        <v>440170</v>
      </c>
      <c r="H394" s="69">
        <v>45360</v>
      </c>
      <c r="I394" s="58">
        <v>0.28000000000000003</v>
      </c>
      <c r="J394" s="58">
        <v>2039513.77</v>
      </c>
    </row>
    <row r="395" spans="1:10" ht="15">
      <c r="A395" s="58" t="s">
        <v>749</v>
      </c>
      <c r="B395" s="58" t="s">
        <v>792</v>
      </c>
      <c r="C395" s="58" t="s">
        <v>807</v>
      </c>
      <c r="D395" s="58" t="s">
        <v>796</v>
      </c>
      <c r="E395" s="58">
        <v>2656052</v>
      </c>
      <c r="F395" s="58">
        <v>18</v>
      </c>
      <c r="G395" s="58">
        <v>463387</v>
      </c>
      <c r="H395" s="69">
        <v>44669</v>
      </c>
      <c r="I395" s="58">
        <v>0.38</v>
      </c>
      <c r="J395" s="58">
        <v>1760643.84</v>
      </c>
    </row>
    <row r="396" spans="1:10" ht="15">
      <c r="A396" s="58" t="s">
        <v>747</v>
      </c>
      <c r="B396" s="58" t="s">
        <v>794</v>
      </c>
      <c r="C396" s="58" t="s">
        <v>788</v>
      </c>
      <c r="D396" s="58" t="s">
        <v>789</v>
      </c>
      <c r="E396" s="58">
        <v>2807148</v>
      </c>
      <c r="F396" s="58">
        <v>73</v>
      </c>
      <c r="G396" s="58">
        <v>444026</v>
      </c>
      <c r="H396" s="69">
        <v>45181</v>
      </c>
      <c r="I396" s="58">
        <v>0.16</v>
      </c>
      <c r="J396" s="58">
        <v>3395475.28</v>
      </c>
    </row>
    <row r="397" spans="1:10" ht="15">
      <c r="A397" s="58" t="s">
        <v>745</v>
      </c>
      <c r="B397" s="58" t="s">
        <v>809</v>
      </c>
      <c r="C397" s="58" t="s">
        <v>799</v>
      </c>
      <c r="D397" s="58" t="s">
        <v>811</v>
      </c>
      <c r="E397" s="58">
        <v>2150210</v>
      </c>
      <c r="F397" s="58">
        <v>29</v>
      </c>
      <c r="G397" s="58">
        <v>16889</v>
      </c>
      <c r="H397" s="69">
        <v>45294</v>
      </c>
      <c r="I397" s="58">
        <v>0.09</v>
      </c>
      <c r="J397" s="58">
        <v>2816084.25</v>
      </c>
    </row>
    <row r="398" spans="1:10" ht="15">
      <c r="A398" s="58" t="s">
        <v>741</v>
      </c>
      <c r="B398" s="58" t="s">
        <v>814</v>
      </c>
      <c r="C398" s="58" t="s">
        <v>809</v>
      </c>
      <c r="D398" s="58" t="s">
        <v>813</v>
      </c>
      <c r="E398" s="58">
        <v>4780192</v>
      </c>
      <c r="F398" s="58">
        <v>51</v>
      </c>
      <c r="G398" s="58">
        <v>249280</v>
      </c>
      <c r="H398" s="69">
        <v>45049</v>
      </c>
      <c r="I398" s="58">
        <v>0.34</v>
      </c>
      <c r="J398" s="58">
        <v>1056003.96</v>
      </c>
    </row>
    <row r="399" spans="1:10" ht="15">
      <c r="A399" s="58" t="s">
        <v>746</v>
      </c>
      <c r="B399" s="58" t="s">
        <v>790</v>
      </c>
      <c r="C399" s="58" t="s">
        <v>807</v>
      </c>
      <c r="D399" s="58" t="s">
        <v>812</v>
      </c>
      <c r="E399" s="58">
        <v>4256553</v>
      </c>
      <c r="F399" s="58">
        <v>62</v>
      </c>
      <c r="G399" s="58">
        <v>82773</v>
      </c>
      <c r="H399" s="69">
        <v>45570</v>
      </c>
      <c r="I399" s="58">
        <v>0.26</v>
      </c>
      <c r="J399" s="58">
        <v>229229.6</v>
      </c>
    </row>
    <row r="400" spans="1:10" ht="15">
      <c r="A400" s="58" t="s">
        <v>747</v>
      </c>
      <c r="B400" s="58" t="s">
        <v>804</v>
      </c>
      <c r="C400" s="58" t="s">
        <v>795</v>
      </c>
      <c r="D400" s="58" t="s">
        <v>813</v>
      </c>
      <c r="E400" s="58">
        <v>4767263</v>
      </c>
      <c r="F400" s="58">
        <v>33</v>
      </c>
      <c r="G400" s="58">
        <v>476210</v>
      </c>
      <c r="H400" s="69">
        <v>44724</v>
      </c>
      <c r="I400" s="58">
        <v>0.39</v>
      </c>
      <c r="J400" s="58">
        <v>1379070.5</v>
      </c>
    </row>
    <row r="401" spans="1:10" ht="15">
      <c r="A401" s="58" t="s">
        <v>747</v>
      </c>
      <c r="B401" s="58" t="s">
        <v>792</v>
      </c>
      <c r="C401" s="58" t="s">
        <v>807</v>
      </c>
      <c r="D401" s="58" t="s">
        <v>800</v>
      </c>
      <c r="E401" s="58">
        <v>1300919</v>
      </c>
      <c r="F401" s="58">
        <v>73</v>
      </c>
      <c r="G401" s="58">
        <v>37514</v>
      </c>
      <c r="H401" s="69">
        <v>45340</v>
      </c>
      <c r="I401" s="58">
        <v>0.4</v>
      </c>
      <c r="J401" s="58">
        <v>161088</v>
      </c>
    </row>
    <row r="402" spans="1:10" ht="15">
      <c r="A402" s="58" t="s">
        <v>749</v>
      </c>
      <c r="B402" s="58" t="s">
        <v>787</v>
      </c>
      <c r="C402" s="58" t="s">
        <v>799</v>
      </c>
      <c r="D402" s="58" t="s">
        <v>812</v>
      </c>
      <c r="E402" s="58">
        <v>1784771</v>
      </c>
      <c r="F402" s="58">
        <v>56</v>
      </c>
      <c r="G402" s="58">
        <v>71553</v>
      </c>
      <c r="H402" s="69">
        <v>45200</v>
      </c>
      <c r="I402" s="58">
        <v>0.25</v>
      </c>
      <c r="J402" s="58">
        <v>3147610.72</v>
      </c>
    </row>
    <row r="403" spans="1:10" ht="15">
      <c r="A403" s="58" t="s">
        <v>743</v>
      </c>
      <c r="B403" s="58" t="s">
        <v>808</v>
      </c>
      <c r="C403" s="58" t="s">
        <v>788</v>
      </c>
      <c r="D403" s="58" t="s">
        <v>811</v>
      </c>
      <c r="E403" s="58">
        <v>3559409</v>
      </c>
      <c r="F403" s="58">
        <v>9</v>
      </c>
      <c r="G403" s="58">
        <v>497114</v>
      </c>
      <c r="H403" s="69">
        <v>45161</v>
      </c>
      <c r="I403" s="58">
        <v>0.39</v>
      </c>
      <c r="J403" s="58">
        <v>2299937.7599999998</v>
      </c>
    </row>
    <row r="404" spans="1:10" ht="15">
      <c r="A404" s="58" t="s">
        <v>740</v>
      </c>
      <c r="B404" s="58" t="s">
        <v>808</v>
      </c>
      <c r="C404" s="58" t="s">
        <v>795</v>
      </c>
      <c r="D404" s="58" t="s">
        <v>803</v>
      </c>
      <c r="E404" s="58">
        <v>4846328</v>
      </c>
      <c r="F404" s="58">
        <v>38</v>
      </c>
      <c r="G404" s="58">
        <v>277013</v>
      </c>
      <c r="H404" s="69">
        <v>44623</v>
      </c>
      <c r="I404" s="58">
        <v>0.17</v>
      </c>
      <c r="J404" s="58">
        <v>2490723.2000000002</v>
      </c>
    </row>
    <row r="405" spans="1:10" ht="15">
      <c r="A405" s="58" t="s">
        <v>749</v>
      </c>
      <c r="B405" s="58" t="s">
        <v>797</v>
      </c>
      <c r="C405" s="58" t="s">
        <v>809</v>
      </c>
      <c r="D405" s="58" t="s">
        <v>803</v>
      </c>
      <c r="E405" s="58">
        <v>1171669</v>
      </c>
      <c r="F405" s="58">
        <v>32</v>
      </c>
      <c r="G405" s="58">
        <v>303492</v>
      </c>
      <c r="H405" s="69">
        <v>45292</v>
      </c>
      <c r="I405" s="58">
        <v>0.18</v>
      </c>
      <c r="J405" s="58">
        <v>3449165.4</v>
      </c>
    </row>
    <row r="406" spans="1:10" ht="15">
      <c r="A406" s="58" t="s">
        <v>743</v>
      </c>
      <c r="B406" s="58" t="s">
        <v>787</v>
      </c>
      <c r="C406" s="58" t="s">
        <v>788</v>
      </c>
      <c r="D406" s="58" t="s">
        <v>789</v>
      </c>
      <c r="E406" s="58">
        <v>3061892</v>
      </c>
      <c r="F406" s="58">
        <v>9</v>
      </c>
      <c r="G406" s="58">
        <v>448335</v>
      </c>
      <c r="H406" s="69">
        <v>45408</v>
      </c>
      <c r="I406" s="58">
        <v>0.41</v>
      </c>
      <c r="J406" s="58">
        <v>572004</v>
      </c>
    </row>
    <row r="407" spans="1:10" ht="15">
      <c r="A407" s="58" t="s">
        <v>742</v>
      </c>
      <c r="B407" s="58" t="s">
        <v>792</v>
      </c>
      <c r="C407" s="58" t="s">
        <v>807</v>
      </c>
      <c r="D407" s="58" t="s">
        <v>812</v>
      </c>
      <c r="E407" s="58">
        <v>4950050</v>
      </c>
      <c r="F407" s="58">
        <v>53</v>
      </c>
      <c r="G407" s="58">
        <v>122943</v>
      </c>
      <c r="H407" s="69">
        <v>45080</v>
      </c>
      <c r="I407" s="58">
        <v>0.03</v>
      </c>
      <c r="J407" s="58">
        <v>1426236.9</v>
      </c>
    </row>
    <row r="408" spans="1:10" ht="15">
      <c r="A408" s="58" t="s">
        <v>747</v>
      </c>
      <c r="B408" s="58" t="s">
        <v>808</v>
      </c>
      <c r="C408" s="58" t="s">
        <v>793</v>
      </c>
      <c r="D408" s="58" t="s">
        <v>812</v>
      </c>
      <c r="E408" s="58">
        <v>336413</v>
      </c>
      <c r="F408" s="58">
        <v>34</v>
      </c>
      <c r="G408" s="58">
        <v>322004</v>
      </c>
      <c r="H408" s="69">
        <v>45019</v>
      </c>
      <c r="I408" s="58">
        <v>0.26</v>
      </c>
      <c r="J408" s="58">
        <v>407099.1</v>
      </c>
    </row>
    <row r="409" spans="1:10" ht="15">
      <c r="A409" s="58" t="s">
        <v>748</v>
      </c>
      <c r="B409" s="58" t="s">
        <v>792</v>
      </c>
      <c r="C409" s="58" t="s">
        <v>788</v>
      </c>
      <c r="D409" s="58" t="s">
        <v>789</v>
      </c>
      <c r="E409" s="58">
        <v>2620778</v>
      </c>
      <c r="F409" s="58">
        <v>14</v>
      </c>
      <c r="G409" s="58">
        <v>254155</v>
      </c>
      <c r="H409" s="69">
        <v>44624</v>
      </c>
      <c r="I409" s="58">
        <v>0.04</v>
      </c>
      <c r="J409" s="58">
        <v>2568418.2000000002</v>
      </c>
    </row>
    <row r="410" spans="1:10" ht="15">
      <c r="A410" s="58" t="s">
        <v>740</v>
      </c>
      <c r="B410" s="58" t="s">
        <v>814</v>
      </c>
      <c r="C410" s="58" t="s">
        <v>809</v>
      </c>
      <c r="D410" s="58" t="s">
        <v>800</v>
      </c>
      <c r="E410" s="58">
        <v>4395598</v>
      </c>
      <c r="F410" s="58">
        <v>66</v>
      </c>
      <c r="G410" s="58">
        <v>499429</v>
      </c>
      <c r="H410" s="69">
        <v>45588</v>
      </c>
      <c r="I410" s="58">
        <v>0.01</v>
      </c>
      <c r="J410" s="58">
        <v>1779583.68</v>
      </c>
    </row>
    <row r="411" spans="1:10" ht="15">
      <c r="A411" s="55" t="s">
        <v>743</v>
      </c>
      <c r="B411" s="56" t="s">
        <v>804</v>
      </c>
      <c r="C411" s="56" t="s">
        <v>795</v>
      </c>
      <c r="D411" s="56" t="s">
        <v>815</v>
      </c>
      <c r="E411" s="56">
        <v>3894271</v>
      </c>
      <c r="F411" s="56">
        <v>45</v>
      </c>
      <c r="G411" s="56">
        <v>15682</v>
      </c>
      <c r="H411" s="68">
        <v>45421</v>
      </c>
      <c r="I411" s="56">
        <v>0.4</v>
      </c>
      <c r="J411" s="56">
        <v>2768882.46</v>
      </c>
    </row>
    <row r="412" spans="1:10" ht="15">
      <c r="A412" s="58" t="s">
        <v>742</v>
      </c>
      <c r="B412" s="58" t="s">
        <v>814</v>
      </c>
      <c r="C412" s="58" t="s">
        <v>807</v>
      </c>
      <c r="D412" s="58" t="s">
        <v>801</v>
      </c>
      <c r="E412" s="58">
        <v>2781781</v>
      </c>
      <c r="F412" s="58">
        <v>86</v>
      </c>
      <c r="G412" s="58">
        <v>47575</v>
      </c>
      <c r="H412" s="69">
        <v>44722</v>
      </c>
      <c r="I412" s="58">
        <v>0.41</v>
      </c>
      <c r="J412" s="58">
        <v>1883027.63</v>
      </c>
    </row>
    <row r="413" spans="1:10" ht="15">
      <c r="A413" s="58" t="s">
        <v>744</v>
      </c>
      <c r="B413" s="58" t="s">
        <v>794</v>
      </c>
      <c r="C413" s="58" t="s">
        <v>799</v>
      </c>
      <c r="D413" s="58" t="s">
        <v>805</v>
      </c>
      <c r="E413" s="58">
        <v>3274235</v>
      </c>
      <c r="F413" s="58">
        <v>94</v>
      </c>
      <c r="G413" s="58">
        <v>311964</v>
      </c>
      <c r="H413" s="69">
        <v>44999</v>
      </c>
      <c r="I413" s="58">
        <v>0.24</v>
      </c>
      <c r="J413" s="58">
        <v>2580848</v>
      </c>
    </row>
    <row r="414" spans="1:10" ht="15">
      <c r="A414" s="58" t="s">
        <v>748</v>
      </c>
      <c r="B414" s="58" t="s">
        <v>797</v>
      </c>
      <c r="C414" s="58" t="s">
        <v>798</v>
      </c>
      <c r="D414" s="58" t="s">
        <v>805</v>
      </c>
      <c r="E414" s="58">
        <v>4892888</v>
      </c>
      <c r="F414" s="58">
        <v>22</v>
      </c>
      <c r="G414" s="58">
        <v>80823</v>
      </c>
      <c r="H414" s="69">
        <v>44951</v>
      </c>
      <c r="I414" s="58">
        <v>0.46</v>
      </c>
      <c r="J414" s="58">
        <v>1513268.46</v>
      </c>
    </row>
    <row r="415" spans="1:10" ht="15">
      <c r="A415" s="58" t="s">
        <v>744</v>
      </c>
      <c r="B415" s="58" t="s">
        <v>804</v>
      </c>
      <c r="C415" s="58" t="s">
        <v>798</v>
      </c>
      <c r="D415" s="58" t="s">
        <v>796</v>
      </c>
      <c r="E415" s="58">
        <v>2768108</v>
      </c>
      <c r="F415" s="58">
        <v>53</v>
      </c>
      <c r="G415" s="58">
        <v>299894</v>
      </c>
      <c r="H415" s="69">
        <v>45444</v>
      </c>
      <c r="I415" s="58">
        <v>0.3</v>
      </c>
      <c r="J415" s="58">
        <v>2389628.2400000002</v>
      </c>
    </row>
    <row r="416" spans="1:10" ht="15">
      <c r="A416" s="58" t="s">
        <v>749</v>
      </c>
      <c r="B416" s="58" t="s">
        <v>808</v>
      </c>
      <c r="C416" s="58" t="s">
        <v>788</v>
      </c>
      <c r="D416" s="58" t="s">
        <v>796</v>
      </c>
      <c r="E416" s="58">
        <v>4998864</v>
      </c>
      <c r="F416" s="58">
        <v>97</v>
      </c>
      <c r="G416" s="58">
        <v>155150</v>
      </c>
      <c r="H416" s="69">
        <v>44965</v>
      </c>
      <c r="I416" s="58">
        <v>0.12</v>
      </c>
      <c r="J416" s="58">
        <v>444298.23</v>
      </c>
    </row>
    <row r="417" spans="1:10" ht="15">
      <c r="A417" s="58" t="s">
        <v>741</v>
      </c>
      <c r="B417" s="58" t="s">
        <v>792</v>
      </c>
      <c r="C417" s="58" t="s">
        <v>809</v>
      </c>
      <c r="D417" s="58" t="s">
        <v>812</v>
      </c>
      <c r="E417" s="58">
        <v>4355262</v>
      </c>
      <c r="F417" s="58">
        <v>46</v>
      </c>
      <c r="G417" s="58">
        <v>154094</v>
      </c>
      <c r="H417" s="69">
        <v>45392</v>
      </c>
      <c r="I417" s="58">
        <v>0.25</v>
      </c>
      <c r="J417" s="58">
        <v>581452.19999999995</v>
      </c>
    </row>
    <row r="418" spans="1:10" ht="15">
      <c r="A418" s="58" t="s">
        <v>746</v>
      </c>
      <c r="B418" s="58" t="s">
        <v>792</v>
      </c>
      <c r="C418" s="58" t="s">
        <v>793</v>
      </c>
      <c r="D418" s="58" t="s">
        <v>811</v>
      </c>
      <c r="E418" s="58">
        <v>2178885</v>
      </c>
      <c r="F418" s="58">
        <v>47</v>
      </c>
      <c r="G418" s="58">
        <v>464162</v>
      </c>
      <c r="H418" s="69">
        <v>44570</v>
      </c>
      <c r="I418" s="58">
        <v>0.46</v>
      </c>
      <c r="J418" s="58">
        <v>2572062.2000000002</v>
      </c>
    </row>
    <row r="419" spans="1:10" ht="15">
      <c r="A419" s="58" t="s">
        <v>744</v>
      </c>
      <c r="B419" s="58" t="s">
        <v>792</v>
      </c>
      <c r="C419" s="58" t="s">
        <v>809</v>
      </c>
      <c r="D419" s="58" t="s">
        <v>812</v>
      </c>
      <c r="E419" s="58">
        <v>1356091</v>
      </c>
      <c r="F419" s="58">
        <v>31</v>
      </c>
      <c r="G419" s="58">
        <v>258938</v>
      </c>
      <c r="H419" s="69">
        <v>44824</v>
      </c>
      <c r="I419" s="58">
        <v>0.28000000000000003</v>
      </c>
      <c r="J419" s="58">
        <v>3654235.13</v>
      </c>
    </row>
    <row r="420" spans="1:10" ht="15">
      <c r="A420" s="58" t="s">
        <v>746</v>
      </c>
      <c r="B420" s="58" t="s">
        <v>814</v>
      </c>
      <c r="C420" s="58" t="s">
        <v>788</v>
      </c>
      <c r="D420" s="58" t="s">
        <v>803</v>
      </c>
      <c r="E420" s="58">
        <v>2587435</v>
      </c>
      <c r="F420" s="58">
        <v>59</v>
      </c>
      <c r="G420" s="58">
        <v>298348</v>
      </c>
      <c r="H420" s="69">
        <v>44856</v>
      </c>
      <c r="I420" s="58">
        <v>0.03</v>
      </c>
      <c r="J420" s="58">
        <v>4658526.04</v>
      </c>
    </row>
    <row r="421" spans="1:10" ht="15">
      <c r="A421" s="58" t="s">
        <v>741</v>
      </c>
      <c r="B421" s="58" t="s">
        <v>809</v>
      </c>
      <c r="C421" s="58" t="s">
        <v>807</v>
      </c>
      <c r="D421" s="58" t="s">
        <v>789</v>
      </c>
      <c r="E421" s="58">
        <v>430342</v>
      </c>
      <c r="F421" s="58">
        <v>19</v>
      </c>
      <c r="G421" s="58">
        <v>280809</v>
      </c>
      <c r="H421" s="69">
        <v>44679</v>
      </c>
      <c r="I421" s="58">
        <v>0.06</v>
      </c>
      <c r="J421" s="58">
        <v>211945.92</v>
      </c>
    </row>
    <row r="422" spans="1:10" ht="15">
      <c r="A422" s="58" t="s">
        <v>742</v>
      </c>
      <c r="B422" s="58" t="s">
        <v>809</v>
      </c>
      <c r="C422" s="58" t="s">
        <v>793</v>
      </c>
      <c r="D422" s="58" t="s">
        <v>805</v>
      </c>
      <c r="E422" s="58">
        <v>559890</v>
      </c>
      <c r="F422" s="58">
        <v>42</v>
      </c>
      <c r="G422" s="58">
        <v>111030</v>
      </c>
      <c r="H422" s="69">
        <v>45203</v>
      </c>
      <c r="I422" s="58">
        <v>0.15</v>
      </c>
      <c r="J422" s="58">
        <v>1222411</v>
      </c>
    </row>
    <row r="423" spans="1:10" ht="15">
      <c r="A423" s="58" t="s">
        <v>743</v>
      </c>
      <c r="B423" s="58" t="s">
        <v>808</v>
      </c>
      <c r="C423" s="58" t="s">
        <v>799</v>
      </c>
      <c r="D423" s="58" t="s">
        <v>800</v>
      </c>
      <c r="E423" s="58">
        <v>320859</v>
      </c>
      <c r="F423" s="58">
        <v>73</v>
      </c>
      <c r="G423" s="58">
        <v>282962</v>
      </c>
      <c r="H423" s="69">
        <v>45296</v>
      </c>
      <c r="I423" s="58">
        <v>0.39</v>
      </c>
      <c r="J423" s="58">
        <v>3025361.98</v>
      </c>
    </row>
    <row r="424" spans="1:10" ht="15">
      <c r="A424" s="58" t="s">
        <v>741</v>
      </c>
      <c r="B424" s="58" t="s">
        <v>808</v>
      </c>
      <c r="C424" s="58" t="s">
        <v>807</v>
      </c>
      <c r="D424" s="58" t="s">
        <v>803</v>
      </c>
      <c r="E424" s="58">
        <v>1017166</v>
      </c>
      <c r="F424" s="58">
        <v>7</v>
      </c>
      <c r="G424" s="58">
        <v>482751</v>
      </c>
      <c r="H424" s="69">
        <v>45453</v>
      </c>
      <c r="I424" s="58">
        <v>0.21</v>
      </c>
      <c r="J424" s="58">
        <v>2999627.25</v>
      </c>
    </row>
    <row r="425" spans="1:10" ht="15">
      <c r="A425" s="58" t="s">
        <v>741</v>
      </c>
      <c r="B425" s="58" t="s">
        <v>790</v>
      </c>
      <c r="C425" s="58" t="s">
        <v>809</v>
      </c>
      <c r="D425" s="58" t="s">
        <v>800</v>
      </c>
      <c r="E425" s="58">
        <v>4155592</v>
      </c>
      <c r="F425" s="58">
        <v>83</v>
      </c>
      <c r="G425" s="58">
        <v>58302</v>
      </c>
      <c r="H425" s="69">
        <v>44743</v>
      </c>
      <c r="I425" s="58">
        <v>0.24</v>
      </c>
      <c r="J425" s="58">
        <v>4366400.78</v>
      </c>
    </row>
    <row r="426" spans="1:10" ht="15">
      <c r="A426" s="58" t="s">
        <v>747</v>
      </c>
      <c r="B426" s="58" t="s">
        <v>790</v>
      </c>
      <c r="C426" s="58" t="s">
        <v>807</v>
      </c>
      <c r="D426" s="58" t="s">
        <v>800</v>
      </c>
      <c r="E426" s="58">
        <v>404000</v>
      </c>
      <c r="F426" s="58">
        <v>74</v>
      </c>
      <c r="G426" s="58">
        <v>188483</v>
      </c>
      <c r="H426" s="69">
        <v>45237</v>
      </c>
      <c r="I426" s="58">
        <v>0.27</v>
      </c>
      <c r="J426" s="58">
        <v>1005601.48</v>
      </c>
    </row>
    <row r="427" spans="1:10" ht="15">
      <c r="A427" s="58" t="s">
        <v>746</v>
      </c>
      <c r="B427" s="58" t="s">
        <v>787</v>
      </c>
      <c r="C427" s="58" t="s">
        <v>795</v>
      </c>
      <c r="D427" s="58" t="s">
        <v>813</v>
      </c>
      <c r="E427" s="58">
        <v>3700626</v>
      </c>
      <c r="F427" s="58">
        <v>49</v>
      </c>
      <c r="G427" s="58">
        <v>148450</v>
      </c>
      <c r="H427" s="69">
        <v>44776</v>
      </c>
      <c r="I427" s="58">
        <v>0.4</v>
      </c>
      <c r="J427" s="58">
        <v>985456.29</v>
      </c>
    </row>
    <row r="428" spans="1:10" ht="15">
      <c r="A428" s="58" t="s">
        <v>745</v>
      </c>
      <c r="B428" s="58" t="s">
        <v>814</v>
      </c>
      <c r="C428" s="58" t="s">
        <v>788</v>
      </c>
      <c r="D428" s="58" t="s">
        <v>805</v>
      </c>
      <c r="E428" s="58">
        <v>2114743</v>
      </c>
      <c r="F428" s="58">
        <v>86</v>
      </c>
      <c r="G428" s="58">
        <v>492727</v>
      </c>
      <c r="H428" s="69">
        <v>45225</v>
      </c>
      <c r="I428" s="58">
        <v>0.13</v>
      </c>
      <c r="J428" s="58">
        <v>706734.6</v>
      </c>
    </row>
    <row r="429" spans="1:10" ht="15">
      <c r="A429" s="58" t="s">
        <v>741</v>
      </c>
      <c r="B429" s="58" t="s">
        <v>809</v>
      </c>
      <c r="C429" s="58" t="s">
        <v>809</v>
      </c>
      <c r="D429" s="58" t="s">
        <v>810</v>
      </c>
      <c r="E429" s="58">
        <v>1869975</v>
      </c>
      <c r="F429" s="58">
        <v>36</v>
      </c>
      <c r="G429" s="58">
        <v>462523</v>
      </c>
      <c r="H429" s="69">
        <v>45572</v>
      </c>
      <c r="I429" s="58">
        <v>0.16</v>
      </c>
      <c r="J429" s="58">
        <v>268834.56</v>
      </c>
    </row>
    <row r="430" spans="1:10" ht="15">
      <c r="A430" s="58" t="s">
        <v>745</v>
      </c>
      <c r="B430" s="58" t="s">
        <v>792</v>
      </c>
      <c r="C430" s="58" t="s">
        <v>809</v>
      </c>
      <c r="D430" s="58" t="s">
        <v>813</v>
      </c>
      <c r="E430" s="58">
        <v>2100727</v>
      </c>
      <c r="F430" s="58">
        <v>69</v>
      </c>
      <c r="G430" s="58">
        <v>254134</v>
      </c>
      <c r="H430" s="69">
        <v>44754</v>
      </c>
      <c r="I430" s="58">
        <v>0.47</v>
      </c>
      <c r="J430" s="58">
        <v>412530.03</v>
      </c>
    </row>
    <row r="431" spans="1:10" ht="15">
      <c r="A431" s="58" t="s">
        <v>747</v>
      </c>
      <c r="B431" s="58" t="s">
        <v>797</v>
      </c>
      <c r="C431" s="58" t="s">
        <v>807</v>
      </c>
      <c r="D431" s="58" t="s">
        <v>796</v>
      </c>
      <c r="E431" s="58">
        <v>3843048</v>
      </c>
      <c r="F431" s="58">
        <v>11</v>
      </c>
      <c r="G431" s="58">
        <v>133400</v>
      </c>
      <c r="H431" s="69">
        <v>44909</v>
      </c>
      <c r="I431" s="58">
        <v>0.41</v>
      </c>
      <c r="J431" s="58">
        <v>157448.12</v>
      </c>
    </row>
    <row r="432" spans="1:10" ht="15">
      <c r="A432" s="58" t="s">
        <v>742</v>
      </c>
      <c r="B432" s="58" t="s">
        <v>809</v>
      </c>
      <c r="C432" s="58" t="s">
        <v>798</v>
      </c>
      <c r="D432" s="58" t="s">
        <v>800</v>
      </c>
      <c r="E432" s="58">
        <v>581968</v>
      </c>
      <c r="F432" s="58">
        <v>34</v>
      </c>
      <c r="G432" s="58">
        <v>484772</v>
      </c>
      <c r="H432" s="69">
        <v>45524</v>
      </c>
      <c r="I432" s="58">
        <v>0.06</v>
      </c>
      <c r="J432" s="58">
        <v>994590.21</v>
      </c>
    </row>
    <row r="433" spans="1:10" ht="15">
      <c r="A433" s="58" t="s">
        <v>748</v>
      </c>
      <c r="B433" s="58" t="s">
        <v>792</v>
      </c>
      <c r="C433" s="58" t="s">
        <v>788</v>
      </c>
      <c r="D433" s="58" t="s">
        <v>796</v>
      </c>
      <c r="E433" s="58">
        <v>4337794</v>
      </c>
      <c r="F433" s="58">
        <v>78</v>
      </c>
      <c r="G433" s="58">
        <v>344584</v>
      </c>
      <c r="H433" s="69">
        <v>45474</v>
      </c>
      <c r="I433" s="58">
        <v>0.1</v>
      </c>
      <c r="J433" s="58">
        <v>2675842.4700000002</v>
      </c>
    </row>
    <row r="434" spans="1:10" ht="15">
      <c r="A434" s="58" t="s">
        <v>746</v>
      </c>
      <c r="B434" s="58" t="s">
        <v>808</v>
      </c>
      <c r="C434" s="58" t="s">
        <v>788</v>
      </c>
      <c r="D434" s="58" t="s">
        <v>791</v>
      </c>
      <c r="E434" s="58">
        <v>4396047</v>
      </c>
      <c r="F434" s="58">
        <v>32</v>
      </c>
      <c r="G434" s="58">
        <v>253445</v>
      </c>
      <c r="H434" s="69">
        <v>44683</v>
      </c>
      <c r="I434" s="58">
        <v>0.28000000000000003</v>
      </c>
      <c r="J434" s="58">
        <v>1370679.24</v>
      </c>
    </row>
    <row r="435" spans="1:10" ht="15">
      <c r="A435" s="58" t="s">
        <v>746</v>
      </c>
      <c r="B435" s="58" t="s">
        <v>790</v>
      </c>
      <c r="C435" s="58" t="s">
        <v>799</v>
      </c>
      <c r="D435" s="58" t="s">
        <v>812</v>
      </c>
      <c r="E435" s="58">
        <v>4411245</v>
      </c>
      <c r="F435" s="58">
        <v>5</v>
      </c>
      <c r="G435" s="58">
        <v>226806</v>
      </c>
      <c r="H435" s="69">
        <v>45134</v>
      </c>
      <c r="I435" s="58">
        <v>0.13</v>
      </c>
      <c r="J435" s="58">
        <v>2444233.5499999998</v>
      </c>
    </row>
    <row r="436" spans="1:10" ht="15">
      <c r="A436" s="58" t="s">
        <v>740</v>
      </c>
      <c r="B436" s="58" t="s">
        <v>804</v>
      </c>
      <c r="C436" s="58" t="s">
        <v>793</v>
      </c>
      <c r="D436" s="58" t="s">
        <v>811</v>
      </c>
      <c r="E436" s="58">
        <v>1794977</v>
      </c>
      <c r="F436" s="58">
        <v>24</v>
      </c>
      <c r="G436" s="58">
        <v>313706</v>
      </c>
      <c r="H436" s="69">
        <v>44885</v>
      </c>
      <c r="I436" s="58">
        <v>0.44</v>
      </c>
      <c r="J436" s="58">
        <v>2343036.08</v>
      </c>
    </row>
    <row r="437" spans="1:10" ht="15">
      <c r="A437" s="58" t="s">
        <v>740</v>
      </c>
      <c r="B437" s="58" t="s">
        <v>790</v>
      </c>
      <c r="C437" s="58" t="s">
        <v>793</v>
      </c>
      <c r="D437" s="58" t="s">
        <v>791</v>
      </c>
      <c r="E437" s="58">
        <v>4829894</v>
      </c>
      <c r="F437" s="58">
        <v>39</v>
      </c>
      <c r="G437" s="58">
        <v>409049</v>
      </c>
      <c r="H437" s="69">
        <v>45613</v>
      </c>
      <c r="I437" s="58">
        <v>0.19</v>
      </c>
      <c r="J437" s="58">
        <v>3815480.76</v>
      </c>
    </row>
    <row r="438" spans="1:10" ht="15">
      <c r="A438" s="58" t="s">
        <v>749</v>
      </c>
      <c r="B438" s="58" t="s">
        <v>814</v>
      </c>
      <c r="C438" s="58" t="s">
        <v>793</v>
      </c>
      <c r="D438" s="58" t="s">
        <v>806</v>
      </c>
      <c r="E438" s="58">
        <v>3839192</v>
      </c>
      <c r="F438" s="58">
        <v>67</v>
      </c>
      <c r="G438" s="58">
        <v>161264</v>
      </c>
      <c r="H438" s="69">
        <v>45458</v>
      </c>
      <c r="I438" s="58">
        <v>0.44</v>
      </c>
      <c r="J438" s="58">
        <v>1558862.8</v>
      </c>
    </row>
    <row r="439" spans="1:10" ht="15">
      <c r="A439" s="58" t="s">
        <v>740</v>
      </c>
      <c r="B439" s="58" t="s">
        <v>808</v>
      </c>
      <c r="C439" s="58" t="s">
        <v>795</v>
      </c>
      <c r="D439" s="58" t="s">
        <v>796</v>
      </c>
      <c r="E439" s="58">
        <v>4707171</v>
      </c>
      <c r="F439" s="58">
        <v>3</v>
      </c>
      <c r="G439" s="58">
        <v>239902</v>
      </c>
      <c r="H439" s="69">
        <v>45541</v>
      </c>
      <c r="I439" s="58">
        <v>0.19</v>
      </c>
      <c r="J439" s="58">
        <v>3149544.06</v>
      </c>
    </row>
    <row r="440" spans="1:10" ht="15">
      <c r="A440" s="58" t="s">
        <v>741</v>
      </c>
      <c r="B440" s="58" t="s">
        <v>792</v>
      </c>
      <c r="C440" s="58" t="s">
        <v>809</v>
      </c>
      <c r="D440" s="58" t="s">
        <v>791</v>
      </c>
      <c r="E440" s="58">
        <v>3454885</v>
      </c>
      <c r="F440" s="58">
        <v>95</v>
      </c>
      <c r="G440" s="58">
        <v>235339</v>
      </c>
      <c r="H440" s="69">
        <v>44831</v>
      </c>
      <c r="I440" s="58">
        <v>0.46</v>
      </c>
      <c r="J440" s="58">
        <v>1223030.3999999999</v>
      </c>
    </row>
    <row r="441" spans="1:10" ht="15">
      <c r="A441" s="58" t="s">
        <v>743</v>
      </c>
      <c r="B441" s="58" t="s">
        <v>802</v>
      </c>
      <c r="C441" s="58" t="s">
        <v>793</v>
      </c>
      <c r="D441" s="58" t="s">
        <v>805</v>
      </c>
      <c r="E441" s="58">
        <v>4624233</v>
      </c>
      <c r="F441" s="58">
        <v>3</v>
      </c>
      <c r="G441" s="58">
        <v>408800</v>
      </c>
      <c r="H441" s="69">
        <v>45053</v>
      </c>
      <c r="I441" s="58">
        <v>0.14000000000000001</v>
      </c>
      <c r="J441" s="58">
        <v>1764291.07</v>
      </c>
    </row>
    <row r="442" spans="1:10" ht="15">
      <c r="A442" s="58" t="s">
        <v>748</v>
      </c>
      <c r="B442" s="58" t="s">
        <v>802</v>
      </c>
      <c r="C442" s="58" t="s">
        <v>809</v>
      </c>
      <c r="D442" s="58" t="s">
        <v>806</v>
      </c>
      <c r="E442" s="58">
        <v>4454400</v>
      </c>
      <c r="F442" s="58">
        <v>38</v>
      </c>
      <c r="G442" s="58">
        <v>487418</v>
      </c>
      <c r="H442" s="69">
        <v>45614</v>
      </c>
      <c r="I442" s="58">
        <v>0.44</v>
      </c>
      <c r="J442" s="58">
        <v>820391.44</v>
      </c>
    </row>
    <row r="443" spans="1:10" ht="15">
      <c r="A443" s="58" t="s">
        <v>741</v>
      </c>
      <c r="B443" s="58" t="s">
        <v>808</v>
      </c>
      <c r="C443" s="58" t="s">
        <v>793</v>
      </c>
      <c r="D443" s="58" t="s">
        <v>810</v>
      </c>
      <c r="E443" s="58">
        <v>1810705</v>
      </c>
      <c r="F443" s="58">
        <v>97</v>
      </c>
      <c r="G443" s="58">
        <v>390103</v>
      </c>
      <c r="H443" s="69">
        <v>45432</v>
      </c>
      <c r="I443" s="58">
        <v>0.33</v>
      </c>
      <c r="J443" s="58">
        <v>1328997.8500000001</v>
      </c>
    </row>
    <row r="444" spans="1:10" ht="15">
      <c r="A444" s="58" t="s">
        <v>747</v>
      </c>
      <c r="B444" s="58" t="s">
        <v>802</v>
      </c>
      <c r="C444" s="58" t="s">
        <v>807</v>
      </c>
      <c r="D444" s="58" t="s">
        <v>810</v>
      </c>
      <c r="E444" s="58">
        <v>3154142</v>
      </c>
      <c r="F444" s="58">
        <v>54</v>
      </c>
      <c r="G444" s="58">
        <v>210350</v>
      </c>
      <c r="H444" s="69">
        <v>45188</v>
      </c>
      <c r="I444" s="58">
        <v>0.36</v>
      </c>
      <c r="J444" s="58">
        <v>1081429.1100000001</v>
      </c>
    </row>
    <row r="445" spans="1:10" ht="15">
      <c r="A445" s="58" t="s">
        <v>740</v>
      </c>
      <c r="B445" s="58" t="s">
        <v>792</v>
      </c>
      <c r="C445" s="58" t="s">
        <v>798</v>
      </c>
      <c r="D445" s="58" t="s">
        <v>803</v>
      </c>
      <c r="E445" s="58">
        <v>2506799</v>
      </c>
      <c r="F445" s="58">
        <v>37</v>
      </c>
      <c r="G445" s="58">
        <v>471768</v>
      </c>
      <c r="H445" s="69">
        <v>44562</v>
      </c>
      <c r="I445" s="58">
        <v>0.01</v>
      </c>
      <c r="J445" s="58">
        <v>2355413.64</v>
      </c>
    </row>
    <row r="446" spans="1:10" ht="15">
      <c r="A446" s="58" t="s">
        <v>743</v>
      </c>
      <c r="B446" s="58" t="s">
        <v>814</v>
      </c>
      <c r="C446" s="58" t="s">
        <v>795</v>
      </c>
      <c r="D446" s="58" t="s">
        <v>801</v>
      </c>
      <c r="E446" s="58">
        <v>4566231</v>
      </c>
      <c r="F446" s="58">
        <v>83</v>
      </c>
      <c r="G446" s="58">
        <v>251414</v>
      </c>
      <c r="H446" s="69">
        <v>45174</v>
      </c>
      <c r="I446" s="58">
        <v>0.31</v>
      </c>
      <c r="J446" s="58">
        <v>1707321</v>
      </c>
    </row>
    <row r="447" spans="1:10" ht="15">
      <c r="A447" s="58" t="s">
        <v>742</v>
      </c>
      <c r="B447" s="58" t="s">
        <v>804</v>
      </c>
      <c r="C447" s="58" t="s">
        <v>793</v>
      </c>
      <c r="D447" s="58" t="s">
        <v>813</v>
      </c>
      <c r="E447" s="58">
        <v>1131171</v>
      </c>
      <c r="F447" s="58">
        <v>89</v>
      </c>
      <c r="G447" s="58">
        <v>295566</v>
      </c>
      <c r="H447" s="69">
        <v>45374</v>
      </c>
      <c r="I447" s="58">
        <v>0.11</v>
      </c>
      <c r="J447" s="58">
        <v>125974.17</v>
      </c>
    </row>
    <row r="448" spans="1:10" ht="15">
      <c r="A448" s="58" t="s">
        <v>742</v>
      </c>
      <c r="B448" s="58" t="s">
        <v>787</v>
      </c>
      <c r="C448" s="58" t="s">
        <v>799</v>
      </c>
      <c r="D448" s="58" t="s">
        <v>796</v>
      </c>
      <c r="E448" s="58">
        <v>46030</v>
      </c>
      <c r="F448" s="58">
        <v>41</v>
      </c>
      <c r="G448" s="58">
        <v>369016</v>
      </c>
      <c r="H448" s="69">
        <v>45113</v>
      </c>
      <c r="I448" s="58">
        <v>0.08</v>
      </c>
      <c r="J448" s="58">
        <v>1654447.68</v>
      </c>
    </row>
    <row r="449" spans="1:10" ht="15">
      <c r="A449" s="58" t="s">
        <v>746</v>
      </c>
      <c r="B449" s="58" t="s">
        <v>809</v>
      </c>
      <c r="C449" s="58" t="s">
        <v>795</v>
      </c>
      <c r="D449" s="58" t="s">
        <v>805</v>
      </c>
      <c r="E449" s="58">
        <v>1769440</v>
      </c>
      <c r="F449" s="58">
        <v>73</v>
      </c>
      <c r="G449" s="58">
        <v>247245</v>
      </c>
      <c r="H449" s="69">
        <v>45613</v>
      </c>
      <c r="I449" s="58">
        <v>0.05</v>
      </c>
      <c r="J449" s="58">
        <v>2015502.3</v>
      </c>
    </row>
    <row r="450" spans="1:10" ht="15">
      <c r="A450" s="58" t="s">
        <v>743</v>
      </c>
      <c r="B450" s="58" t="s">
        <v>814</v>
      </c>
      <c r="C450" s="58" t="s">
        <v>798</v>
      </c>
      <c r="D450" s="58" t="s">
        <v>813</v>
      </c>
      <c r="E450" s="58">
        <v>3093717</v>
      </c>
      <c r="F450" s="58">
        <v>73</v>
      </c>
      <c r="G450" s="58">
        <v>170823</v>
      </c>
      <c r="H450" s="69">
        <v>45561</v>
      </c>
      <c r="I450" s="58">
        <v>0.22</v>
      </c>
      <c r="J450" s="58">
        <v>1981394.87</v>
      </c>
    </row>
    <row r="451" spans="1:10" ht="15">
      <c r="A451" s="58" t="s">
        <v>747</v>
      </c>
      <c r="B451" s="58" t="s">
        <v>792</v>
      </c>
      <c r="C451" s="58" t="s">
        <v>788</v>
      </c>
      <c r="D451" s="58" t="s">
        <v>812</v>
      </c>
      <c r="E451" s="58">
        <v>3122957</v>
      </c>
      <c r="F451" s="58">
        <v>58</v>
      </c>
      <c r="G451" s="58">
        <v>31569</v>
      </c>
      <c r="H451" s="69">
        <v>45053</v>
      </c>
      <c r="I451" s="58">
        <v>0.31</v>
      </c>
      <c r="J451" s="58">
        <v>1007617.02</v>
      </c>
    </row>
    <row r="452" spans="1:10" ht="15">
      <c r="A452" s="58" t="s">
        <v>742</v>
      </c>
      <c r="B452" s="58" t="s">
        <v>809</v>
      </c>
      <c r="C452" s="58" t="s">
        <v>809</v>
      </c>
      <c r="D452" s="58" t="s">
        <v>801</v>
      </c>
      <c r="E452" s="58">
        <v>952928</v>
      </c>
      <c r="F452" s="58">
        <v>8</v>
      </c>
      <c r="G452" s="58">
        <v>338761</v>
      </c>
      <c r="H452" s="69">
        <v>45130</v>
      </c>
      <c r="I452" s="58">
        <v>0.23</v>
      </c>
      <c r="J452" s="58">
        <v>3262223.97</v>
      </c>
    </row>
    <row r="453" spans="1:10" ht="15">
      <c r="A453" s="58" t="s">
        <v>749</v>
      </c>
      <c r="B453" s="58" t="s">
        <v>794</v>
      </c>
      <c r="C453" s="58" t="s">
        <v>798</v>
      </c>
      <c r="D453" s="58" t="s">
        <v>811</v>
      </c>
      <c r="E453" s="58">
        <v>2188659</v>
      </c>
      <c r="F453" s="58">
        <v>4</v>
      </c>
      <c r="G453" s="58">
        <v>34340</v>
      </c>
      <c r="H453" s="69">
        <v>44936</v>
      </c>
      <c r="I453" s="58">
        <v>0.31</v>
      </c>
      <c r="J453" s="58">
        <v>2387361.6</v>
      </c>
    </row>
    <row r="454" spans="1:10" ht="15">
      <c r="A454" s="58" t="s">
        <v>743</v>
      </c>
      <c r="B454" s="58" t="s">
        <v>787</v>
      </c>
      <c r="C454" s="58" t="s">
        <v>798</v>
      </c>
      <c r="D454" s="58" t="s">
        <v>796</v>
      </c>
      <c r="E454" s="58">
        <v>149742</v>
      </c>
      <c r="F454" s="58">
        <v>37</v>
      </c>
      <c r="G454" s="58">
        <v>189398</v>
      </c>
      <c r="H454" s="69">
        <v>44760</v>
      </c>
      <c r="I454" s="58">
        <v>0.26</v>
      </c>
      <c r="J454" s="58">
        <v>2326398.56</v>
      </c>
    </row>
    <row r="455" spans="1:10" ht="15">
      <c r="A455" s="58" t="s">
        <v>746</v>
      </c>
      <c r="B455" s="58" t="s">
        <v>802</v>
      </c>
      <c r="C455" s="58" t="s">
        <v>809</v>
      </c>
      <c r="D455" s="58" t="s">
        <v>803</v>
      </c>
      <c r="E455" s="58">
        <v>2961861</v>
      </c>
      <c r="F455" s="58">
        <v>46</v>
      </c>
      <c r="G455" s="58">
        <v>99329</v>
      </c>
      <c r="H455" s="69">
        <v>45447</v>
      </c>
      <c r="I455" s="58">
        <v>0.04</v>
      </c>
      <c r="J455" s="58">
        <v>2309505.48</v>
      </c>
    </row>
    <row r="456" spans="1:10" ht="15">
      <c r="A456" s="58" t="s">
        <v>744</v>
      </c>
      <c r="B456" s="58" t="s">
        <v>814</v>
      </c>
      <c r="C456" s="58" t="s">
        <v>795</v>
      </c>
      <c r="D456" s="58" t="s">
        <v>813</v>
      </c>
      <c r="E456" s="58">
        <v>74031</v>
      </c>
      <c r="F456" s="58">
        <v>34</v>
      </c>
      <c r="G456" s="58">
        <v>98493</v>
      </c>
      <c r="H456" s="69">
        <v>44985</v>
      </c>
      <c r="I456" s="58">
        <v>0.31</v>
      </c>
      <c r="J456" s="58">
        <v>1104210.3799999999</v>
      </c>
    </row>
    <row r="457" spans="1:10" ht="15">
      <c r="A457" s="58" t="s">
        <v>742</v>
      </c>
      <c r="B457" s="58" t="s">
        <v>797</v>
      </c>
      <c r="C457" s="58" t="s">
        <v>788</v>
      </c>
      <c r="D457" s="58" t="s">
        <v>811</v>
      </c>
      <c r="E457" s="58">
        <v>4740844</v>
      </c>
      <c r="F457" s="58">
        <v>43</v>
      </c>
      <c r="G457" s="58">
        <v>130886</v>
      </c>
      <c r="H457" s="69">
        <v>44879</v>
      </c>
      <c r="I457" s="58">
        <v>0.02</v>
      </c>
      <c r="J457" s="58">
        <v>495469.22</v>
      </c>
    </row>
    <row r="458" spans="1:10" ht="15">
      <c r="A458" s="58" t="s">
        <v>748</v>
      </c>
      <c r="B458" s="58" t="s">
        <v>792</v>
      </c>
      <c r="C458" s="58" t="s">
        <v>793</v>
      </c>
      <c r="D458" s="58" t="s">
        <v>789</v>
      </c>
      <c r="E458" s="58">
        <v>3551747</v>
      </c>
      <c r="F458" s="58">
        <v>85</v>
      </c>
      <c r="G458" s="58">
        <v>385070</v>
      </c>
      <c r="H458" s="69">
        <v>44596</v>
      </c>
      <c r="I458" s="58">
        <v>0.31</v>
      </c>
      <c r="J458" s="58">
        <v>3836306.04</v>
      </c>
    </row>
    <row r="459" spans="1:10" ht="15">
      <c r="A459" s="58" t="s">
        <v>744</v>
      </c>
      <c r="B459" s="58" t="s">
        <v>814</v>
      </c>
      <c r="C459" s="58" t="s">
        <v>799</v>
      </c>
      <c r="D459" s="58" t="s">
        <v>801</v>
      </c>
      <c r="E459" s="58">
        <v>3191882</v>
      </c>
      <c r="F459" s="58">
        <v>37</v>
      </c>
      <c r="G459" s="58">
        <v>236959</v>
      </c>
      <c r="H459" s="69">
        <v>45146</v>
      </c>
      <c r="I459" s="58">
        <v>0.08</v>
      </c>
      <c r="J459" s="58">
        <v>1954804.83</v>
      </c>
    </row>
    <row r="460" spans="1:10" ht="15">
      <c r="A460" s="58" t="s">
        <v>746</v>
      </c>
      <c r="B460" s="58" t="s">
        <v>802</v>
      </c>
      <c r="C460" s="58" t="s">
        <v>809</v>
      </c>
      <c r="D460" s="58" t="s">
        <v>815</v>
      </c>
      <c r="E460" s="58">
        <v>1937960</v>
      </c>
      <c r="F460" s="58">
        <v>90</v>
      </c>
      <c r="G460" s="58">
        <v>192141</v>
      </c>
      <c r="H460" s="69">
        <v>44826</v>
      </c>
      <c r="I460" s="58">
        <v>0.35</v>
      </c>
      <c r="J460" s="58">
        <v>665845.09</v>
      </c>
    </row>
    <row r="461" spans="1:10" ht="15">
      <c r="A461" s="58" t="s">
        <v>749</v>
      </c>
      <c r="B461" s="58" t="s">
        <v>802</v>
      </c>
      <c r="C461" s="58" t="s">
        <v>809</v>
      </c>
      <c r="D461" s="58" t="s">
        <v>815</v>
      </c>
      <c r="E461" s="58">
        <v>4489556</v>
      </c>
      <c r="F461" s="58">
        <v>1</v>
      </c>
      <c r="G461" s="58">
        <v>420364</v>
      </c>
      <c r="H461" s="69">
        <v>45417</v>
      </c>
      <c r="I461" s="58">
        <v>0.2</v>
      </c>
      <c r="J461" s="58">
        <v>1062097.6200000001</v>
      </c>
    </row>
    <row r="462" spans="1:10" ht="15">
      <c r="A462" s="55" t="s">
        <v>744</v>
      </c>
      <c r="B462" s="56" t="s">
        <v>808</v>
      </c>
      <c r="C462" s="56" t="s">
        <v>795</v>
      </c>
      <c r="D462" s="56" t="s">
        <v>801</v>
      </c>
      <c r="E462" s="56">
        <v>1335481</v>
      </c>
      <c r="F462" s="56">
        <v>99</v>
      </c>
      <c r="G462" s="56">
        <v>317578</v>
      </c>
      <c r="H462" s="68">
        <v>44690</v>
      </c>
      <c r="I462" s="56">
        <v>0.13</v>
      </c>
      <c r="J462" s="56">
        <v>3632753.75</v>
      </c>
    </row>
    <row r="463" spans="1:10" ht="15">
      <c r="A463" s="58" t="s">
        <v>749</v>
      </c>
      <c r="B463" s="58" t="s">
        <v>792</v>
      </c>
      <c r="C463" s="58" t="s">
        <v>788</v>
      </c>
      <c r="D463" s="58" t="s">
        <v>812</v>
      </c>
      <c r="E463" s="58">
        <v>4422279</v>
      </c>
      <c r="F463" s="58">
        <v>97</v>
      </c>
      <c r="G463" s="58">
        <v>9578</v>
      </c>
      <c r="H463" s="69">
        <v>45201</v>
      </c>
      <c r="I463" s="58">
        <v>0.06</v>
      </c>
      <c r="J463" s="58">
        <v>4372847.3</v>
      </c>
    </row>
    <row r="464" spans="1:10" ht="15">
      <c r="A464" s="58" t="s">
        <v>747</v>
      </c>
      <c r="B464" s="58" t="s">
        <v>804</v>
      </c>
      <c r="C464" s="58" t="s">
        <v>795</v>
      </c>
      <c r="D464" s="58" t="s">
        <v>805</v>
      </c>
      <c r="E464" s="58">
        <v>4150656</v>
      </c>
      <c r="F464" s="58">
        <v>37</v>
      </c>
      <c r="G464" s="58">
        <v>7897</v>
      </c>
      <c r="H464" s="69">
        <v>45506</v>
      </c>
      <c r="I464" s="58">
        <v>0.06</v>
      </c>
      <c r="J464" s="58">
        <v>3703030.02</v>
      </c>
    </row>
    <row r="465" spans="1:10" ht="15">
      <c r="A465" s="58" t="s">
        <v>749</v>
      </c>
      <c r="B465" s="58" t="s">
        <v>802</v>
      </c>
      <c r="C465" s="58" t="s">
        <v>798</v>
      </c>
      <c r="D465" s="58" t="s">
        <v>813</v>
      </c>
      <c r="E465" s="58">
        <v>4056531</v>
      </c>
      <c r="F465" s="58">
        <v>52</v>
      </c>
      <c r="G465" s="58">
        <v>329920</v>
      </c>
      <c r="H465" s="69">
        <v>45430</v>
      </c>
      <c r="I465" s="58">
        <v>0.35</v>
      </c>
      <c r="J465" s="58">
        <v>1898782.38</v>
      </c>
    </row>
    <row r="466" spans="1:10" ht="15">
      <c r="A466" s="58" t="s">
        <v>742</v>
      </c>
      <c r="B466" s="58" t="s">
        <v>787</v>
      </c>
      <c r="C466" s="58" t="s">
        <v>807</v>
      </c>
      <c r="D466" s="58" t="s">
        <v>805</v>
      </c>
      <c r="E466" s="58">
        <v>2832812</v>
      </c>
      <c r="F466" s="58">
        <v>68</v>
      </c>
      <c r="G466" s="58">
        <v>456684</v>
      </c>
      <c r="H466" s="69">
        <v>44793</v>
      </c>
      <c r="I466" s="58">
        <v>0.37</v>
      </c>
      <c r="J466" s="58">
        <v>958562.99</v>
      </c>
    </row>
    <row r="467" spans="1:10" ht="15">
      <c r="A467" s="58" t="s">
        <v>740</v>
      </c>
      <c r="B467" s="58" t="s">
        <v>809</v>
      </c>
      <c r="C467" s="58" t="s">
        <v>798</v>
      </c>
      <c r="D467" s="58" t="s">
        <v>813</v>
      </c>
      <c r="E467" s="58">
        <v>3270804</v>
      </c>
      <c r="F467" s="58">
        <v>8</v>
      </c>
      <c r="G467" s="58">
        <v>229578</v>
      </c>
      <c r="H467" s="69">
        <v>45303</v>
      </c>
      <c r="I467" s="58">
        <v>0.4</v>
      </c>
      <c r="J467" s="58">
        <v>368075.5</v>
      </c>
    </row>
    <row r="468" spans="1:10" ht="15">
      <c r="A468" s="58" t="s">
        <v>743</v>
      </c>
      <c r="B468" s="58" t="s">
        <v>787</v>
      </c>
      <c r="C468" s="58" t="s">
        <v>788</v>
      </c>
      <c r="D468" s="58" t="s">
        <v>806</v>
      </c>
      <c r="E468" s="58">
        <v>3345329</v>
      </c>
      <c r="F468" s="58">
        <v>34</v>
      </c>
      <c r="G468" s="58">
        <v>495896</v>
      </c>
      <c r="H468" s="69">
        <v>45521</v>
      </c>
      <c r="I468" s="58">
        <v>0.36</v>
      </c>
      <c r="J468" s="58">
        <v>79703.91</v>
      </c>
    </row>
    <row r="469" spans="1:10" ht="15">
      <c r="A469" s="58" t="s">
        <v>741</v>
      </c>
      <c r="B469" s="58" t="s">
        <v>792</v>
      </c>
      <c r="C469" s="58" t="s">
        <v>807</v>
      </c>
      <c r="D469" s="58" t="s">
        <v>811</v>
      </c>
      <c r="E469" s="58">
        <v>2930047</v>
      </c>
      <c r="F469" s="58">
        <v>21</v>
      </c>
      <c r="G469" s="58">
        <v>154467</v>
      </c>
      <c r="H469" s="69">
        <v>44610</v>
      </c>
      <c r="I469" s="58">
        <v>0.15</v>
      </c>
      <c r="J469" s="58">
        <v>1265879.52</v>
      </c>
    </row>
    <row r="470" spans="1:10" ht="15">
      <c r="A470" s="58" t="s">
        <v>740</v>
      </c>
      <c r="B470" s="58" t="s">
        <v>794</v>
      </c>
      <c r="C470" s="58" t="s">
        <v>809</v>
      </c>
      <c r="D470" s="58" t="s">
        <v>812</v>
      </c>
      <c r="E470" s="58">
        <v>2164416</v>
      </c>
      <c r="F470" s="58">
        <v>76</v>
      </c>
      <c r="G470" s="58">
        <v>176912</v>
      </c>
      <c r="H470" s="69">
        <v>45398</v>
      </c>
      <c r="I470" s="58">
        <v>0.16</v>
      </c>
      <c r="J470" s="58">
        <v>3671737.65</v>
      </c>
    </row>
    <row r="471" spans="1:10" ht="15">
      <c r="A471" s="58" t="s">
        <v>741</v>
      </c>
      <c r="B471" s="58" t="s">
        <v>802</v>
      </c>
      <c r="C471" s="58" t="s">
        <v>799</v>
      </c>
      <c r="D471" s="58" t="s">
        <v>805</v>
      </c>
      <c r="E471" s="58">
        <v>1172722</v>
      </c>
      <c r="F471" s="58">
        <v>9</v>
      </c>
      <c r="G471" s="58">
        <v>266206</v>
      </c>
      <c r="H471" s="69">
        <v>45034</v>
      </c>
      <c r="I471" s="58">
        <v>0.24</v>
      </c>
      <c r="J471" s="58">
        <v>684388.5</v>
      </c>
    </row>
    <row r="472" spans="1:10" ht="15">
      <c r="A472" s="58" t="s">
        <v>748</v>
      </c>
      <c r="B472" s="58" t="s">
        <v>814</v>
      </c>
      <c r="C472" s="58" t="s">
        <v>809</v>
      </c>
      <c r="D472" s="58" t="s">
        <v>796</v>
      </c>
      <c r="E472" s="58">
        <v>2433039</v>
      </c>
      <c r="F472" s="58">
        <v>68</v>
      </c>
      <c r="G472" s="58">
        <v>128021</v>
      </c>
      <c r="H472" s="69">
        <v>44731</v>
      </c>
      <c r="I472" s="58">
        <v>0.16</v>
      </c>
      <c r="J472" s="58">
        <v>1756654.06</v>
      </c>
    </row>
    <row r="473" spans="1:10" ht="15">
      <c r="A473" s="58" t="s">
        <v>741</v>
      </c>
      <c r="B473" s="58" t="s">
        <v>790</v>
      </c>
      <c r="C473" s="58" t="s">
        <v>807</v>
      </c>
      <c r="D473" s="58" t="s">
        <v>801</v>
      </c>
      <c r="E473" s="58">
        <v>4309677</v>
      </c>
      <c r="F473" s="58">
        <v>19</v>
      </c>
      <c r="G473" s="58">
        <v>259987</v>
      </c>
      <c r="H473" s="69">
        <v>44908</v>
      </c>
      <c r="I473" s="58">
        <v>0.22</v>
      </c>
      <c r="J473" s="58">
        <v>66304.56</v>
      </c>
    </row>
    <row r="474" spans="1:10" ht="15">
      <c r="A474" s="58" t="s">
        <v>747</v>
      </c>
      <c r="B474" s="58" t="s">
        <v>808</v>
      </c>
      <c r="C474" s="58" t="s">
        <v>798</v>
      </c>
      <c r="D474" s="58" t="s">
        <v>813</v>
      </c>
      <c r="E474" s="58">
        <v>4822249</v>
      </c>
      <c r="F474" s="58">
        <v>23</v>
      </c>
      <c r="G474" s="58">
        <v>292742</v>
      </c>
      <c r="H474" s="69">
        <v>44672</v>
      </c>
      <c r="I474" s="58">
        <v>0.41</v>
      </c>
      <c r="J474" s="58">
        <v>25802.06</v>
      </c>
    </row>
    <row r="475" spans="1:10" ht="15">
      <c r="A475" s="58" t="s">
        <v>742</v>
      </c>
      <c r="B475" s="58" t="s">
        <v>794</v>
      </c>
      <c r="C475" s="58" t="s">
        <v>799</v>
      </c>
      <c r="D475" s="58" t="s">
        <v>800</v>
      </c>
      <c r="E475" s="58">
        <v>4542331</v>
      </c>
      <c r="F475" s="58">
        <v>85</v>
      </c>
      <c r="G475" s="58">
        <v>35665</v>
      </c>
      <c r="H475" s="69">
        <v>45568</v>
      </c>
      <c r="I475" s="58">
        <v>0.44</v>
      </c>
      <c r="J475" s="58">
        <v>2015338.65</v>
      </c>
    </row>
    <row r="476" spans="1:10" ht="15">
      <c r="A476" s="58" t="s">
        <v>741</v>
      </c>
      <c r="B476" s="58" t="s">
        <v>808</v>
      </c>
      <c r="C476" s="58" t="s">
        <v>795</v>
      </c>
      <c r="D476" s="58" t="s">
        <v>811</v>
      </c>
      <c r="E476" s="58">
        <v>2426809</v>
      </c>
      <c r="F476" s="58">
        <v>35</v>
      </c>
      <c r="G476" s="58">
        <v>228394</v>
      </c>
      <c r="H476" s="69">
        <v>45171</v>
      </c>
      <c r="I476" s="58">
        <v>0.25</v>
      </c>
      <c r="J476" s="58">
        <v>3540575.5</v>
      </c>
    </row>
    <row r="477" spans="1:10" ht="15">
      <c r="A477" s="58" t="s">
        <v>745</v>
      </c>
      <c r="B477" s="58" t="s">
        <v>797</v>
      </c>
      <c r="C477" s="58" t="s">
        <v>807</v>
      </c>
      <c r="D477" s="58" t="s">
        <v>801</v>
      </c>
      <c r="E477" s="58">
        <v>964105</v>
      </c>
      <c r="F477" s="58">
        <v>97</v>
      </c>
      <c r="G477" s="58">
        <v>38407</v>
      </c>
      <c r="H477" s="69">
        <v>45119</v>
      </c>
      <c r="I477" s="58">
        <v>0.18</v>
      </c>
      <c r="J477" s="58">
        <v>2209670.1</v>
      </c>
    </row>
    <row r="478" spans="1:10" ht="15">
      <c r="A478" s="58" t="s">
        <v>741</v>
      </c>
      <c r="B478" s="58" t="s">
        <v>787</v>
      </c>
      <c r="C478" s="58" t="s">
        <v>793</v>
      </c>
      <c r="D478" s="58" t="s">
        <v>810</v>
      </c>
      <c r="E478" s="58">
        <v>3218341</v>
      </c>
      <c r="F478" s="58">
        <v>98</v>
      </c>
      <c r="G478" s="58">
        <v>375742</v>
      </c>
      <c r="H478" s="69">
        <v>44635</v>
      </c>
      <c r="I478" s="58">
        <v>0.18</v>
      </c>
      <c r="J478" s="58">
        <v>3143082.16</v>
      </c>
    </row>
    <row r="479" spans="1:10" ht="15">
      <c r="A479" s="58" t="s">
        <v>745</v>
      </c>
      <c r="B479" s="58" t="s">
        <v>809</v>
      </c>
      <c r="C479" s="58" t="s">
        <v>795</v>
      </c>
      <c r="D479" s="58" t="s">
        <v>796</v>
      </c>
      <c r="E479" s="58">
        <v>1670274</v>
      </c>
      <c r="F479" s="58">
        <v>57</v>
      </c>
      <c r="G479" s="58">
        <v>407541</v>
      </c>
      <c r="H479" s="69">
        <v>45397</v>
      </c>
      <c r="I479" s="58">
        <v>0.42</v>
      </c>
      <c r="J479" s="58">
        <v>3542650.34</v>
      </c>
    </row>
    <row r="480" spans="1:10" ht="15">
      <c r="A480" s="58" t="s">
        <v>744</v>
      </c>
      <c r="B480" s="58" t="s">
        <v>794</v>
      </c>
      <c r="C480" s="58" t="s">
        <v>799</v>
      </c>
      <c r="D480" s="58" t="s">
        <v>789</v>
      </c>
      <c r="E480" s="58">
        <v>3738451</v>
      </c>
      <c r="F480" s="58">
        <v>71</v>
      </c>
      <c r="G480" s="58">
        <v>390183</v>
      </c>
      <c r="H480" s="69">
        <v>45348</v>
      </c>
      <c r="I480" s="58">
        <v>0.34</v>
      </c>
      <c r="J480" s="58">
        <v>2469948.4700000002</v>
      </c>
    </row>
    <row r="481" spans="1:10" ht="15">
      <c r="A481" s="58" t="s">
        <v>742</v>
      </c>
      <c r="B481" s="58" t="s">
        <v>794</v>
      </c>
      <c r="C481" s="58" t="s">
        <v>795</v>
      </c>
      <c r="D481" s="58" t="s">
        <v>806</v>
      </c>
      <c r="E481" s="58">
        <v>2925782</v>
      </c>
      <c r="F481" s="58">
        <v>90</v>
      </c>
      <c r="G481" s="58">
        <v>26905</v>
      </c>
      <c r="H481" s="69">
        <v>45407</v>
      </c>
      <c r="I481" s="58">
        <v>0.49</v>
      </c>
      <c r="J481" s="58">
        <v>304624.26</v>
      </c>
    </row>
    <row r="482" spans="1:10" ht="15">
      <c r="A482" s="58" t="s">
        <v>748</v>
      </c>
      <c r="B482" s="58" t="s">
        <v>814</v>
      </c>
      <c r="C482" s="58" t="s">
        <v>799</v>
      </c>
      <c r="D482" s="58" t="s">
        <v>806</v>
      </c>
      <c r="E482" s="58">
        <v>1245391</v>
      </c>
      <c r="F482" s="58">
        <v>67</v>
      </c>
      <c r="G482" s="58">
        <v>167495</v>
      </c>
      <c r="H482" s="69">
        <v>45323</v>
      </c>
      <c r="I482" s="58">
        <v>0.28999999999999998</v>
      </c>
      <c r="J482" s="58">
        <v>2100036.84</v>
      </c>
    </row>
    <row r="483" spans="1:10" ht="15">
      <c r="A483" s="58" t="s">
        <v>749</v>
      </c>
      <c r="B483" s="58" t="s">
        <v>804</v>
      </c>
      <c r="C483" s="58" t="s">
        <v>795</v>
      </c>
      <c r="D483" s="58" t="s">
        <v>800</v>
      </c>
      <c r="E483" s="58">
        <v>4200850</v>
      </c>
      <c r="F483" s="58">
        <v>90</v>
      </c>
      <c r="G483" s="58">
        <v>386328</v>
      </c>
      <c r="H483" s="69">
        <v>44853</v>
      </c>
      <c r="I483" s="58">
        <v>0.28999999999999998</v>
      </c>
      <c r="J483" s="58">
        <v>3139960.56</v>
      </c>
    </row>
    <row r="484" spans="1:10" ht="15">
      <c r="A484" s="58" t="s">
        <v>743</v>
      </c>
      <c r="B484" s="58" t="s">
        <v>804</v>
      </c>
      <c r="C484" s="58" t="s">
        <v>788</v>
      </c>
      <c r="D484" s="58" t="s">
        <v>810</v>
      </c>
      <c r="E484" s="58">
        <v>2125392</v>
      </c>
      <c r="F484" s="58">
        <v>5</v>
      </c>
      <c r="G484" s="58">
        <v>91219</v>
      </c>
      <c r="H484" s="69">
        <v>44729</v>
      </c>
      <c r="I484" s="58">
        <v>0.35</v>
      </c>
      <c r="J484" s="58">
        <v>1569330</v>
      </c>
    </row>
    <row r="485" spans="1:10" ht="15">
      <c r="A485" s="58" t="s">
        <v>747</v>
      </c>
      <c r="B485" s="58" t="s">
        <v>802</v>
      </c>
      <c r="C485" s="58" t="s">
        <v>799</v>
      </c>
      <c r="D485" s="58" t="s">
        <v>796</v>
      </c>
      <c r="E485" s="58">
        <v>3828828</v>
      </c>
      <c r="F485" s="58">
        <v>24</v>
      </c>
      <c r="G485" s="58">
        <v>433534</v>
      </c>
      <c r="H485" s="69">
        <v>45133</v>
      </c>
      <c r="I485" s="58">
        <v>0.28000000000000003</v>
      </c>
      <c r="J485" s="58">
        <v>1152518</v>
      </c>
    </row>
    <row r="486" spans="1:10" ht="15">
      <c r="A486" s="58" t="s">
        <v>744</v>
      </c>
      <c r="B486" s="58" t="s">
        <v>814</v>
      </c>
      <c r="C486" s="58" t="s">
        <v>809</v>
      </c>
      <c r="D486" s="58" t="s">
        <v>815</v>
      </c>
      <c r="E486" s="58">
        <v>4446749</v>
      </c>
      <c r="F486" s="58">
        <v>53</v>
      </c>
      <c r="G486" s="58">
        <v>420392</v>
      </c>
      <c r="H486" s="69">
        <v>45263</v>
      </c>
      <c r="I486" s="58">
        <v>0.38</v>
      </c>
      <c r="J486" s="58">
        <v>1084605.72</v>
      </c>
    </row>
    <row r="487" spans="1:10" ht="15">
      <c r="A487" s="58" t="s">
        <v>742</v>
      </c>
      <c r="B487" s="58" t="s">
        <v>790</v>
      </c>
      <c r="C487" s="58" t="s">
        <v>807</v>
      </c>
      <c r="D487" s="58" t="s">
        <v>801</v>
      </c>
      <c r="E487" s="58">
        <v>1546620</v>
      </c>
      <c r="F487" s="58">
        <v>92</v>
      </c>
      <c r="G487" s="58">
        <v>154973</v>
      </c>
      <c r="H487" s="69">
        <v>45150</v>
      </c>
      <c r="I487" s="58">
        <v>0.19</v>
      </c>
      <c r="J487" s="58">
        <v>2620883.4300000002</v>
      </c>
    </row>
    <row r="488" spans="1:10" ht="15">
      <c r="A488" s="58" t="s">
        <v>748</v>
      </c>
      <c r="B488" s="58" t="s">
        <v>794</v>
      </c>
      <c r="C488" s="58" t="s">
        <v>807</v>
      </c>
      <c r="D488" s="58" t="s">
        <v>789</v>
      </c>
      <c r="E488" s="58">
        <v>2685830</v>
      </c>
      <c r="F488" s="58">
        <v>75</v>
      </c>
      <c r="G488" s="58">
        <v>238703</v>
      </c>
      <c r="H488" s="69">
        <v>45262</v>
      </c>
      <c r="I488" s="58">
        <v>0.18</v>
      </c>
      <c r="J488" s="58">
        <v>1978256.43</v>
      </c>
    </row>
    <row r="489" spans="1:10" ht="15">
      <c r="A489" s="58" t="s">
        <v>744</v>
      </c>
      <c r="B489" s="58" t="s">
        <v>794</v>
      </c>
      <c r="C489" s="58" t="s">
        <v>809</v>
      </c>
      <c r="D489" s="58" t="s">
        <v>810</v>
      </c>
      <c r="E489" s="58">
        <v>1738479</v>
      </c>
      <c r="F489" s="58">
        <v>19</v>
      </c>
      <c r="G489" s="58">
        <v>357308</v>
      </c>
      <c r="H489" s="69">
        <v>45544</v>
      </c>
      <c r="I489" s="58">
        <v>0.42</v>
      </c>
      <c r="J489" s="58">
        <v>1615731</v>
      </c>
    </row>
    <row r="490" spans="1:10" ht="15">
      <c r="A490" s="58" t="s">
        <v>745</v>
      </c>
      <c r="B490" s="58" t="s">
        <v>809</v>
      </c>
      <c r="C490" s="58" t="s">
        <v>798</v>
      </c>
      <c r="D490" s="58" t="s">
        <v>813</v>
      </c>
      <c r="E490" s="58">
        <v>718608</v>
      </c>
      <c r="F490" s="58">
        <v>60</v>
      </c>
      <c r="G490" s="58">
        <v>84604</v>
      </c>
      <c r="H490" s="69">
        <v>45006</v>
      </c>
      <c r="I490" s="58">
        <v>0.44</v>
      </c>
      <c r="J490" s="58">
        <v>285163.59000000003</v>
      </c>
    </row>
    <row r="491" spans="1:10" ht="15">
      <c r="A491" s="58" t="s">
        <v>741</v>
      </c>
      <c r="B491" s="58" t="s">
        <v>804</v>
      </c>
      <c r="C491" s="58" t="s">
        <v>809</v>
      </c>
      <c r="D491" s="58" t="s">
        <v>813</v>
      </c>
      <c r="E491" s="58">
        <v>1000655</v>
      </c>
      <c r="F491" s="58">
        <v>96</v>
      </c>
      <c r="G491" s="58">
        <v>208262</v>
      </c>
      <c r="H491" s="69">
        <v>45173</v>
      </c>
      <c r="I491" s="58">
        <v>0.35</v>
      </c>
      <c r="J491" s="58">
        <v>2150331.75</v>
      </c>
    </row>
    <row r="492" spans="1:10" ht="15">
      <c r="A492" s="58" t="s">
        <v>745</v>
      </c>
      <c r="B492" s="58" t="s">
        <v>797</v>
      </c>
      <c r="C492" s="58" t="s">
        <v>793</v>
      </c>
      <c r="D492" s="58" t="s">
        <v>801</v>
      </c>
      <c r="E492" s="58">
        <v>4389187</v>
      </c>
      <c r="F492" s="58">
        <v>30</v>
      </c>
      <c r="G492" s="58">
        <v>95692</v>
      </c>
      <c r="H492" s="69">
        <v>44862</v>
      </c>
      <c r="I492" s="58">
        <v>0.37</v>
      </c>
      <c r="J492" s="58">
        <v>1115228.3999999999</v>
      </c>
    </row>
    <row r="493" spans="1:10" ht="15">
      <c r="A493" s="58" t="s">
        <v>740</v>
      </c>
      <c r="B493" s="58" t="s">
        <v>802</v>
      </c>
      <c r="C493" s="58" t="s">
        <v>788</v>
      </c>
      <c r="D493" s="58" t="s">
        <v>812</v>
      </c>
      <c r="E493" s="58">
        <v>2894963</v>
      </c>
      <c r="F493" s="58">
        <v>6</v>
      </c>
      <c r="G493" s="58">
        <v>451690</v>
      </c>
      <c r="H493" s="69">
        <v>44853</v>
      </c>
      <c r="I493" s="58">
        <v>0.47</v>
      </c>
      <c r="J493" s="58">
        <v>926567.49</v>
      </c>
    </row>
    <row r="494" spans="1:10" ht="15">
      <c r="A494" s="58" t="s">
        <v>744</v>
      </c>
      <c r="B494" s="58" t="s">
        <v>802</v>
      </c>
      <c r="C494" s="58" t="s">
        <v>798</v>
      </c>
      <c r="D494" s="58" t="s">
        <v>805</v>
      </c>
      <c r="E494" s="58">
        <v>1809792</v>
      </c>
      <c r="F494" s="58">
        <v>97</v>
      </c>
      <c r="G494" s="58">
        <v>286982</v>
      </c>
      <c r="H494" s="69">
        <v>45269</v>
      </c>
      <c r="I494" s="58">
        <v>0.5</v>
      </c>
      <c r="J494" s="58">
        <v>1296754.51</v>
      </c>
    </row>
    <row r="495" spans="1:10" ht="15">
      <c r="A495" s="58" t="s">
        <v>749</v>
      </c>
      <c r="B495" s="58" t="s">
        <v>794</v>
      </c>
      <c r="C495" s="58" t="s">
        <v>807</v>
      </c>
      <c r="D495" s="58" t="s">
        <v>800</v>
      </c>
      <c r="E495" s="58">
        <v>55936</v>
      </c>
      <c r="F495" s="58">
        <v>80</v>
      </c>
      <c r="G495" s="58">
        <v>430811</v>
      </c>
      <c r="H495" s="69">
        <v>45546</v>
      </c>
      <c r="I495" s="58">
        <v>0.12</v>
      </c>
      <c r="J495" s="58">
        <v>2798292.45</v>
      </c>
    </row>
    <row r="496" spans="1:10" ht="15">
      <c r="A496" s="58" t="s">
        <v>743</v>
      </c>
      <c r="B496" s="58" t="s">
        <v>792</v>
      </c>
      <c r="C496" s="58" t="s">
        <v>795</v>
      </c>
      <c r="D496" s="58" t="s">
        <v>811</v>
      </c>
      <c r="E496" s="58">
        <v>1312052</v>
      </c>
      <c r="F496" s="58">
        <v>12</v>
      </c>
      <c r="G496" s="58">
        <v>130508</v>
      </c>
      <c r="H496" s="69">
        <v>44597</v>
      </c>
      <c r="I496" s="58">
        <v>0.48</v>
      </c>
      <c r="J496" s="58">
        <v>78402.55</v>
      </c>
    </row>
    <row r="497" spans="1:10" ht="15">
      <c r="A497" s="58" t="s">
        <v>746</v>
      </c>
      <c r="B497" s="58" t="s">
        <v>797</v>
      </c>
      <c r="C497" s="58" t="s">
        <v>788</v>
      </c>
      <c r="D497" s="58" t="s">
        <v>812</v>
      </c>
      <c r="E497" s="58">
        <v>945854</v>
      </c>
      <c r="F497" s="58">
        <v>30</v>
      </c>
      <c r="G497" s="58">
        <v>113549</v>
      </c>
      <c r="H497" s="69">
        <v>45354</v>
      </c>
      <c r="I497" s="58">
        <v>0.49</v>
      </c>
      <c r="J497" s="58">
        <v>1414740.6</v>
      </c>
    </row>
    <row r="498" spans="1:10" ht="15">
      <c r="A498" s="58" t="s">
        <v>748</v>
      </c>
      <c r="B498" s="58" t="s">
        <v>787</v>
      </c>
      <c r="C498" s="58" t="s">
        <v>798</v>
      </c>
      <c r="D498" s="58" t="s">
        <v>803</v>
      </c>
      <c r="E498" s="58">
        <v>3729752</v>
      </c>
      <c r="F498" s="58">
        <v>65</v>
      </c>
      <c r="G498" s="58">
        <v>257746</v>
      </c>
      <c r="H498" s="69">
        <v>45090</v>
      </c>
      <c r="I498" s="58">
        <v>0.33</v>
      </c>
      <c r="J498" s="58">
        <v>933321.39</v>
      </c>
    </row>
    <row r="499" spans="1:10" ht="15">
      <c r="A499" s="58" t="s">
        <v>744</v>
      </c>
      <c r="B499" s="58" t="s">
        <v>808</v>
      </c>
      <c r="C499" s="58" t="s">
        <v>788</v>
      </c>
      <c r="D499" s="58" t="s">
        <v>800</v>
      </c>
      <c r="E499" s="58">
        <v>4014413</v>
      </c>
      <c r="F499" s="58">
        <v>4</v>
      </c>
      <c r="G499" s="58">
        <v>338162</v>
      </c>
      <c r="H499" s="69">
        <v>45122</v>
      </c>
      <c r="I499" s="58">
        <v>0.39</v>
      </c>
      <c r="J499" s="58">
        <v>2334372.54</v>
      </c>
    </row>
    <row r="500" spans="1:10" ht="15">
      <c r="A500" s="58" t="s">
        <v>749</v>
      </c>
      <c r="B500" s="58" t="s">
        <v>794</v>
      </c>
      <c r="C500" s="58" t="s">
        <v>795</v>
      </c>
      <c r="D500" s="58" t="s">
        <v>806</v>
      </c>
      <c r="E500" s="58">
        <v>2939411</v>
      </c>
      <c r="F500" s="58">
        <v>94</v>
      </c>
      <c r="G500" s="58">
        <v>90005</v>
      </c>
      <c r="H500" s="69">
        <v>44667</v>
      </c>
      <c r="I500" s="58">
        <v>0.02</v>
      </c>
      <c r="J500" s="58">
        <v>1749383.91</v>
      </c>
    </row>
    <row r="501" spans="1:10" ht="15">
      <c r="A501" s="58" t="s">
        <v>743</v>
      </c>
      <c r="B501" s="58" t="s">
        <v>792</v>
      </c>
      <c r="C501" s="58" t="s">
        <v>799</v>
      </c>
      <c r="D501" s="58" t="s">
        <v>805</v>
      </c>
      <c r="E501" s="58">
        <v>3661161</v>
      </c>
      <c r="F501" s="58">
        <v>91</v>
      </c>
      <c r="G501" s="58">
        <v>239632</v>
      </c>
      <c r="H501" s="69">
        <v>44714</v>
      </c>
      <c r="I501" s="58">
        <v>7.0000000000000007E-2</v>
      </c>
      <c r="J501" s="58">
        <v>1079133.93</v>
      </c>
    </row>
    <row r="502" spans="1:10" ht="15">
      <c r="A502" s="58" t="s">
        <v>743</v>
      </c>
      <c r="B502" s="58" t="s">
        <v>808</v>
      </c>
      <c r="C502" s="58" t="s">
        <v>788</v>
      </c>
      <c r="D502" s="58" t="s">
        <v>801</v>
      </c>
      <c r="E502" s="58">
        <v>1031654</v>
      </c>
      <c r="F502" s="58">
        <v>83</v>
      </c>
      <c r="G502" s="58">
        <v>464968</v>
      </c>
      <c r="H502" s="69">
        <v>45433</v>
      </c>
      <c r="I502" s="58">
        <v>0.4</v>
      </c>
      <c r="J502" s="58">
        <v>3454983</v>
      </c>
    </row>
    <row r="503" spans="1:10" ht="15">
      <c r="A503" s="58" t="s">
        <v>749</v>
      </c>
      <c r="B503" s="58" t="s">
        <v>809</v>
      </c>
      <c r="C503" s="58" t="s">
        <v>809</v>
      </c>
      <c r="D503" s="58" t="s">
        <v>800</v>
      </c>
      <c r="E503" s="58">
        <v>2106977</v>
      </c>
      <c r="F503" s="58">
        <v>32</v>
      </c>
      <c r="G503" s="58">
        <v>292555</v>
      </c>
      <c r="H503" s="69">
        <v>44758</v>
      </c>
      <c r="I503" s="58">
        <v>0.25</v>
      </c>
      <c r="J503" s="58">
        <v>2884876.26</v>
      </c>
    </row>
  </sheetData>
  <phoneticPr fontId="3" type="noConversion"/>
  <conditionalFormatting sqref="L18:W24">
    <cfRule type="expression" dxfId="1" priority="1">
      <formula>$O18&gt;0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23E4-B53A-44CB-B3AD-2EB4C629DDF5}">
  <sheetPr codeName="Sheet10"/>
  <dimension ref="A1:U503"/>
  <sheetViews>
    <sheetView workbookViewId="0">
      <selection activeCell="L29" sqref="L29"/>
    </sheetView>
  </sheetViews>
  <sheetFormatPr baseColWidth="10" defaultColWidth="8.83203125" defaultRowHeight="14"/>
  <cols>
    <col min="8" max="8" width="10.6640625" style="54" bestFit="1" customWidth="1"/>
    <col min="13" max="13" width="15" bestFit="1" customWidth="1"/>
    <col min="14" max="21" width="15.83203125" bestFit="1" customWidth="1"/>
  </cols>
  <sheetData>
    <row r="1" spans="1:21" s="122" customFormat="1" ht="30" customHeight="1">
      <c r="H1" s="124"/>
    </row>
    <row r="2" spans="1:21" s="128" customFormat="1" ht="5.5" customHeight="1">
      <c r="H2" s="130"/>
    </row>
    <row r="3" spans="1:21" ht="15">
      <c r="A3" s="55" t="s">
        <v>778</v>
      </c>
      <c r="B3" s="56" t="s">
        <v>779</v>
      </c>
      <c r="C3" s="56" t="s">
        <v>780</v>
      </c>
      <c r="D3" s="56" t="s">
        <v>781</v>
      </c>
      <c r="E3" s="56" t="s">
        <v>732</v>
      </c>
      <c r="F3" s="56" t="s">
        <v>782</v>
      </c>
      <c r="G3" s="56" t="s">
        <v>783</v>
      </c>
      <c r="H3" s="68" t="s">
        <v>784</v>
      </c>
      <c r="I3" s="56" t="s">
        <v>785</v>
      </c>
      <c r="J3" s="56" t="s">
        <v>786</v>
      </c>
    </row>
    <row r="4" spans="1:21" ht="15">
      <c r="A4" s="58" t="s">
        <v>743</v>
      </c>
      <c r="B4" s="58" t="s">
        <v>787</v>
      </c>
      <c r="C4" s="58" t="s">
        <v>788</v>
      </c>
      <c r="D4" s="58" t="s">
        <v>789</v>
      </c>
      <c r="E4" s="58">
        <v>861211</v>
      </c>
      <c r="F4" s="58">
        <v>96</v>
      </c>
      <c r="G4" s="58">
        <v>80611</v>
      </c>
      <c r="H4" s="69">
        <v>44684</v>
      </c>
      <c r="I4" s="58">
        <v>0.13</v>
      </c>
      <c r="J4" s="58">
        <v>920333.04</v>
      </c>
    </row>
    <row r="5" spans="1:21" ht="17">
      <c r="A5" s="58" t="s">
        <v>749</v>
      </c>
      <c r="B5" s="58" t="s">
        <v>790</v>
      </c>
      <c r="C5" s="58" t="s">
        <v>788</v>
      </c>
      <c r="D5" s="58" t="s">
        <v>791</v>
      </c>
      <c r="E5" s="58">
        <v>1118870</v>
      </c>
      <c r="F5" s="58">
        <v>59</v>
      </c>
      <c r="G5" s="58">
        <v>16478</v>
      </c>
      <c r="H5" s="69">
        <v>44569</v>
      </c>
      <c r="I5" s="58">
        <v>0.03</v>
      </c>
      <c r="J5" s="58">
        <v>617364.39</v>
      </c>
      <c r="M5" s="79" t="s">
        <v>852</v>
      </c>
      <c r="N5" s="79" t="s">
        <v>853</v>
      </c>
      <c r="O5" s="80"/>
      <c r="P5" s="80"/>
      <c r="Q5" s="80"/>
      <c r="R5" s="80"/>
      <c r="S5" s="80"/>
      <c r="T5" s="80"/>
      <c r="U5" s="80"/>
    </row>
    <row r="6" spans="1:21" ht="17">
      <c r="A6" s="58" t="s">
        <v>740</v>
      </c>
      <c r="B6" s="58" t="s">
        <v>792</v>
      </c>
      <c r="C6" s="58" t="s">
        <v>793</v>
      </c>
      <c r="D6" s="58" t="s">
        <v>791</v>
      </c>
      <c r="E6" s="58">
        <v>2156014</v>
      </c>
      <c r="F6" s="58">
        <v>20</v>
      </c>
      <c r="G6" s="58">
        <v>117588</v>
      </c>
      <c r="H6" s="69">
        <v>44968</v>
      </c>
      <c r="I6" s="58">
        <v>0.15</v>
      </c>
      <c r="J6" s="58">
        <v>795395.52</v>
      </c>
      <c r="M6" s="79" t="s">
        <v>847</v>
      </c>
      <c r="N6" s="80" t="s">
        <v>788</v>
      </c>
      <c r="O6" s="80" t="s">
        <v>807</v>
      </c>
      <c r="P6" s="80" t="s">
        <v>798</v>
      </c>
      <c r="Q6" s="80" t="s">
        <v>793</v>
      </c>
      <c r="R6" s="80" t="s">
        <v>799</v>
      </c>
      <c r="S6" s="80" t="s">
        <v>809</v>
      </c>
      <c r="T6" s="80" t="s">
        <v>795</v>
      </c>
      <c r="U6" s="80" t="s">
        <v>848</v>
      </c>
    </row>
    <row r="7" spans="1:21" ht="17">
      <c r="A7" s="58" t="s">
        <v>741</v>
      </c>
      <c r="B7" s="58" t="s">
        <v>787</v>
      </c>
      <c r="C7" s="58" t="s">
        <v>793</v>
      </c>
      <c r="D7" s="58" t="s">
        <v>789</v>
      </c>
      <c r="E7" s="58">
        <v>4539351</v>
      </c>
      <c r="F7" s="58">
        <v>20</v>
      </c>
      <c r="G7" s="58">
        <v>431168</v>
      </c>
      <c r="H7" s="69">
        <v>45537</v>
      </c>
      <c r="I7" s="58">
        <v>0.01</v>
      </c>
      <c r="J7" s="58">
        <v>1276152.46</v>
      </c>
      <c r="M7" s="81" t="s">
        <v>849</v>
      </c>
      <c r="N7" s="82">
        <v>48043733.390000008</v>
      </c>
      <c r="O7" s="82">
        <v>33118629.010000002</v>
      </c>
      <c r="P7" s="82">
        <v>47973150.930000007</v>
      </c>
      <c r="Q7" s="82">
        <v>46920993.149999999</v>
      </c>
      <c r="R7" s="82">
        <v>47427021.199999996</v>
      </c>
      <c r="S7" s="82">
        <v>59072748.080000021</v>
      </c>
      <c r="T7" s="82">
        <v>50611807.089999996</v>
      </c>
      <c r="U7" s="82">
        <v>333168082.85000002</v>
      </c>
    </row>
    <row r="8" spans="1:21" ht="17">
      <c r="A8" s="58" t="s">
        <v>743</v>
      </c>
      <c r="B8" s="58" t="s">
        <v>794</v>
      </c>
      <c r="C8" s="58" t="s">
        <v>795</v>
      </c>
      <c r="D8" s="58" t="s">
        <v>796</v>
      </c>
      <c r="E8" s="58">
        <v>1050132</v>
      </c>
      <c r="F8" s="58">
        <v>55</v>
      </c>
      <c r="G8" s="58">
        <v>50209</v>
      </c>
      <c r="H8" s="69">
        <v>44629</v>
      </c>
      <c r="I8" s="58">
        <v>0.41</v>
      </c>
      <c r="J8" s="58">
        <v>3374022.28</v>
      </c>
      <c r="M8" s="81" t="s">
        <v>850</v>
      </c>
      <c r="N8" s="82">
        <v>44815396.600000001</v>
      </c>
      <c r="O8" s="82">
        <v>45625838.659999996</v>
      </c>
      <c r="P8" s="82">
        <v>52581230.619999997</v>
      </c>
      <c r="Q8" s="82">
        <v>31458625.559999999</v>
      </c>
      <c r="R8" s="82">
        <v>53544110.43999999</v>
      </c>
      <c r="S8" s="82">
        <v>44235604.82</v>
      </c>
      <c r="T8" s="82">
        <v>39322306.600000001</v>
      </c>
      <c r="U8" s="82">
        <v>311583113.30000001</v>
      </c>
    </row>
    <row r="9" spans="1:21" ht="17">
      <c r="A9" s="58" t="s">
        <v>743</v>
      </c>
      <c r="B9" s="58" t="s">
        <v>797</v>
      </c>
      <c r="C9" s="58" t="s">
        <v>798</v>
      </c>
      <c r="D9" s="58" t="s">
        <v>791</v>
      </c>
      <c r="E9" s="58">
        <v>4805725</v>
      </c>
      <c r="F9" s="58">
        <v>71</v>
      </c>
      <c r="G9" s="58">
        <v>2560</v>
      </c>
      <c r="H9" s="69">
        <v>44572</v>
      </c>
      <c r="I9" s="58">
        <v>0.32</v>
      </c>
      <c r="J9" s="58">
        <v>1600411.98</v>
      </c>
      <c r="M9" s="81" t="s">
        <v>851</v>
      </c>
      <c r="N9" s="82">
        <v>53520936.480000004</v>
      </c>
      <c r="O9" s="82">
        <v>46029403.160000004</v>
      </c>
      <c r="P9" s="82">
        <v>34556176.840000004</v>
      </c>
      <c r="Q9" s="82">
        <v>22954945.740000006</v>
      </c>
      <c r="R9" s="82">
        <v>43495753.879999995</v>
      </c>
      <c r="S9" s="82">
        <v>50579036.519999996</v>
      </c>
      <c r="T9" s="82">
        <v>44056081.449999996</v>
      </c>
      <c r="U9" s="82">
        <v>295192334.06999999</v>
      </c>
    </row>
    <row r="10" spans="1:21" ht="17">
      <c r="A10" s="58" t="s">
        <v>745</v>
      </c>
      <c r="B10" s="58" t="s">
        <v>794</v>
      </c>
      <c r="C10" s="58" t="s">
        <v>799</v>
      </c>
      <c r="D10" s="58" t="s">
        <v>800</v>
      </c>
      <c r="E10" s="58">
        <v>2523822</v>
      </c>
      <c r="F10" s="58">
        <v>35</v>
      </c>
      <c r="G10" s="58">
        <v>298700</v>
      </c>
      <c r="H10" s="69">
        <v>44666</v>
      </c>
      <c r="I10" s="58">
        <v>0.18</v>
      </c>
      <c r="J10" s="58">
        <v>2009741.76</v>
      </c>
      <c r="M10" s="81" t="s">
        <v>848</v>
      </c>
      <c r="N10" s="82">
        <v>146380066.47000003</v>
      </c>
      <c r="O10" s="82">
        <v>124773870.83000001</v>
      </c>
      <c r="P10" s="82">
        <v>135110558.39000002</v>
      </c>
      <c r="Q10" s="82">
        <v>101334564.45</v>
      </c>
      <c r="R10" s="82">
        <v>144466885.51999998</v>
      </c>
      <c r="S10" s="82">
        <v>153887389.42000002</v>
      </c>
      <c r="T10" s="82">
        <v>133990195.13999999</v>
      </c>
      <c r="U10" s="82">
        <v>939943530.22000003</v>
      </c>
    </row>
    <row r="11" spans="1:21" ht="15">
      <c r="A11" s="58" t="s">
        <v>749</v>
      </c>
      <c r="B11" s="58" t="s">
        <v>797</v>
      </c>
      <c r="C11" s="58" t="s">
        <v>795</v>
      </c>
      <c r="D11" s="58" t="s">
        <v>801</v>
      </c>
      <c r="E11" s="58">
        <v>603228</v>
      </c>
      <c r="F11" s="58">
        <v>75</v>
      </c>
      <c r="G11" s="58">
        <v>168597</v>
      </c>
      <c r="H11" s="69">
        <v>44573</v>
      </c>
      <c r="I11" s="58">
        <v>0.17</v>
      </c>
      <c r="J11" s="58">
        <v>541009.43999999994</v>
      </c>
    </row>
    <row r="12" spans="1:21" ht="15">
      <c r="A12" s="58" t="s">
        <v>741</v>
      </c>
      <c r="B12" s="58" t="s">
        <v>802</v>
      </c>
      <c r="C12" s="58" t="s">
        <v>798</v>
      </c>
      <c r="D12" s="58" t="s">
        <v>803</v>
      </c>
      <c r="E12" s="58">
        <v>3920665</v>
      </c>
      <c r="F12" s="58">
        <v>77</v>
      </c>
      <c r="G12" s="58">
        <v>333393</v>
      </c>
      <c r="H12" s="69">
        <v>45000</v>
      </c>
      <c r="I12" s="58">
        <v>0.17</v>
      </c>
      <c r="J12" s="58">
        <v>1408342.08</v>
      </c>
    </row>
    <row r="13" spans="1:21" ht="15">
      <c r="A13" s="58" t="s">
        <v>744</v>
      </c>
      <c r="B13" s="58" t="s">
        <v>787</v>
      </c>
      <c r="C13" s="58" t="s">
        <v>798</v>
      </c>
      <c r="D13" s="58" t="s">
        <v>791</v>
      </c>
      <c r="E13" s="58">
        <v>2300862</v>
      </c>
      <c r="F13" s="58">
        <v>51</v>
      </c>
      <c r="G13" s="58">
        <v>226845</v>
      </c>
      <c r="H13" s="69">
        <v>45195</v>
      </c>
      <c r="I13" s="58">
        <v>0.34</v>
      </c>
      <c r="J13" s="58">
        <v>1752319.2</v>
      </c>
    </row>
    <row r="14" spans="1:21" ht="15">
      <c r="A14" s="58" t="s">
        <v>743</v>
      </c>
      <c r="B14" s="58" t="s">
        <v>804</v>
      </c>
      <c r="C14" s="58" t="s">
        <v>799</v>
      </c>
      <c r="D14" s="58" t="s">
        <v>805</v>
      </c>
      <c r="E14" s="58">
        <v>994915</v>
      </c>
      <c r="F14" s="58">
        <v>52</v>
      </c>
      <c r="G14" s="58">
        <v>160697</v>
      </c>
      <c r="H14" s="69">
        <v>44974</v>
      </c>
      <c r="I14" s="58">
        <v>0.14000000000000001</v>
      </c>
      <c r="J14" s="58">
        <v>210786.71</v>
      </c>
    </row>
    <row r="15" spans="1:21" ht="15">
      <c r="A15" s="58" t="s">
        <v>743</v>
      </c>
      <c r="B15" s="58" t="s">
        <v>797</v>
      </c>
      <c r="C15" s="58" t="s">
        <v>795</v>
      </c>
      <c r="D15" s="58" t="s">
        <v>806</v>
      </c>
      <c r="E15" s="58">
        <v>586391</v>
      </c>
      <c r="F15" s="58">
        <v>76</v>
      </c>
      <c r="G15" s="58">
        <v>112153</v>
      </c>
      <c r="H15" s="69">
        <v>44848</v>
      </c>
      <c r="I15" s="58">
        <v>0.24</v>
      </c>
      <c r="J15" s="58">
        <v>50580</v>
      </c>
    </row>
    <row r="16" spans="1:21" ht="15">
      <c r="A16" s="58" t="s">
        <v>747</v>
      </c>
      <c r="B16" s="58" t="s">
        <v>790</v>
      </c>
      <c r="C16" s="58" t="s">
        <v>807</v>
      </c>
      <c r="D16" s="58" t="s">
        <v>791</v>
      </c>
      <c r="E16" s="58">
        <v>2130912</v>
      </c>
      <c r="F16" s="58">
        <v>25</v>
      </c>
      <c r="G16" s="58">
        <v>275809</v>
      </c>
      <c r="H16" s="69">
        <v>44789</v>
      </c>
      <c r="I16" s="58">
        <v>0.25</v>
      </c>
      <c r="J16" s="58">
        <v>3055064.32</v>
      </c>
    </row>
    <row r="17" spans="1:10" ht="15">
      <c r="A17" s="58" t="s">
        <v>747</v>
      </c>
      <c r="B17" s="58" t="s">
        <v>808</v>
      </c>
      <c r="C17" s="58" t="s">
        <v>809</v>
      </c>
      <c r="D17" s="58" t="s">
        <v>810</v>
      </c>
      <c r="E17" s="58">
        <v>2713130</v>
      </c>
      <c r="F17" s="58">
        <v>54</v>
      </c>
      <c r="G17" s="58">
        <v>243012</v>
      </c>
      <c r="H17" s="69">
        <v>45646</v>
      </c>
      <c r="I17" s="58">
        <v>0.23</v>
      </c>
      <c r="J17" s="58">
        <v>2066000.72</v>
      </c>
    </row>
    <row r="18" spans="1:10" ht="15">
      <c r="A18" s="58" t="s">
        <v>742</v>
      </c>
      <c r="B18" s="58" t="s">
        <v>808</v>
      </c>
      <c r="C18" s="58" t="s">
        <v>788</v>
      </c>
      <c r="D18" s="58" t="s">
        <v>796</v>
      </c>
      <c r="E18" s="58">
        <v>808568</v>
      </c>
      <c r="F18" s="58">
        <v>24</v>
      </c>
      <c r="G18" s="58">
        <v>456771</v>
      </c>
      <c r="H18" s="69">
        <v>45095</v>
      </c>
      <c r="I18" s="58">
        <v>0.2</v>
      </c>
      <c r="J18" s="58">
        <v>1196733.3999999999</v>
      </c>
    </row>
    <row r="19" spans="1:10" ht="15">
      <c r="A19" s="58" t="s">
        <v>740</v>
      </c>
      <c r="B19" s="58" t="s">
        <v>797</v>
      </c>
      <c r="C19" s="58" t="s">
        <v>793</v>
      </c>
      <c r="D19" s="58" t="s">
        <v>791</v>
      </c>
      <c r="E19" s="58">
        <v>3086430</v>
      </c>
      <c r="F19" s="58">
        <v>22</v>
      </c>
      <c r="G19" s="58">
        <v>299659</v>
      </c>
      <c r="H19" s="69">
        <v>44658</v>
      </c>
      <c r="I19" s="58">
        <v>0.45</v>
      </c>
      <c r="J19" s="58">
        <v>418409.64</v>
      </c>
    </row>
    <row r="20" spans="1:10" ht="15">
      <c r="A20" s="58" t="s">
        <v>744</v>
      </c>
      <c r="B20" s="58" t="s">
        <v>809</v>
      </c>
      <c r="C20" s="58" t="s">
        <v>788</v>
      </c>
      <c r="D20" s="58" t="s">
        <v>811</v>
      </c>
      <c r="E20" s="58">
        <v>4249078</v>
      </c>
      <c r="F20" s="58">
        <v>18</v>
      </c>
      <c r="G20" s="58">
        <v>157389</v>
      </c>
      <c r="H20" s="69">
        <v>45282</v>
      </c>
      <c r="I20" s="58">
        <v>0.38</v>
      </c>
      <c r="J20" s="58">
        <v>2390881.7999999998</v>
      </c>
    </row>
    <row r="21" spans="1:10" ht="15">
      <c r="A21" s="58" t="s">
        <v>745</v>
      </c>
      <c r="B21" s="58" t="s">
        <v>797</v>
      </c>
      <c r="C21" s="58" t="s">
        <v>788</v>
      </c>
      <c r="D21" s="58" t="s">
        <v>791</v>
      </c>
      <c r="E21" s="58">
        <v>1825475</v>
      </c>
      <c r="F21" s="58">
        <v>36</v>
      </c>
      <c r="G21" s="58">
        <v>333350</v>
      </c>
      <c r="H21" s="69">
        <v>45600</v>
      </c>
      <c r="I21" s="58">
        <v>0.46</v>
      </c>
      <c r="J21" s="58">
        <v>1854706.12</v>
      </c>
    </row>
    <row r="22" spans="1:10" ht="15">
      <c r="A22" s="58" t="s">
        <v>745</v>
      </c>
      <c r="B22" s="58" t="s">
        <v>794</v>
      </c>
      <c r="C22" s="58" t="s">
        <v>793</v>
      </c>
      <c r="D22" s="58" t="s">
        <v>810</v>
      </c>
      <c r="E22" s="58">
        <v>2044411</v>
      </c>
      <c r="F22" s="58">
        <v>33</v>
      </c>
      <c r="G22" s="58">
        <v>386112</v>
      </c>
      <c r="H22" s="69">
        <v>44774</v>
      </c>
      <c r="I22" s="58">
        <v>0.43</v>
      </c>
      <c r="J22" s="58">
        <v>2312092.7200000002</v>
      </c>
    </row>
    <row r="23" spans="1:10" ht="15">
      <c r="A23" s="58" t="s">
        <v>745</v>
      </c>
      <c r="B23" s="58" t="s">
        <v>808</v>
      </c>
      <c r="C23" s="58" t="s">
        <v>807</v>
      </c>
      <c r="D23" s="58" t="s">
        <v>812</v>
      </c>
      <c r="E23" s="58">
        <v>2105761</v>
      </c>
      <c r="F23" s="58">
        <v>64</v>
      </c>
      <c r="G23" s="58">
        <v>78948</v>
      </c>
      <c r="H23" s="69">
        <v>45264</v>
      </c>
      <c r="I23" s="58">
        <v>0.17</v>
      </c>
      <c r="J23" s="58">
        <v>23983.05</v>
      </c>
    </row>
    <row r="24" spans="1:10" ht="15">
      <c r="A24" s="58" t="s">
        <v>744</v>
      </c>
      <c r="B24" s="58" t="s">
        <v>802</v>
      </c>
      <c r="C24" s="58" t="s">
        <v>798</v>
      </c>
      <c r="D24" s="58" t="s">
        <v>801</v>
      </c>
      <c r="E24" s="58">
        <v>4897155</v>
      </c>
      <c r="F24" s="58">
        <v>69</v>
      </c>
      <c r="G24" s="58">
        <v>318532</v>
      </c>
      <c r="H24" s="69">
        <v>44744</v>
      </c>
      <c r="I24" s="58">
        <v>0.24</v>
      </c>
      <c r="J24" s="58">
        <v>1244687.25</v>
      </c>
    </row>
    <row r="25" spans="1:10" ht="15">
      <c r="A25" s="58" t="s">
        <v>744</v>
      </c>
      <c r="B25" s="58" t="s">
        <v>794</v>
      </c>
      <c r="C25" s="58" t="s">
        <v>788</v>
      </c>
      <c r="D25" s="58" t="s">
        <v>813</v>
      </c>
      <c r="E25" s="58">
        <v>3246622</v>
      </c>
      <c r="F25" s="58">
        <v>70</v>
      </c>
      <c r="G25" s="58">
        <v>204652</v>
      </c>
      <c r="H25" s="69">
        <v>45330</v>
      </c>
      <c r="I25" s="58">
        <v>0.17</v>
      </c>
      <c r="J25" s="58">
        <v>1087602.6000000001</v>
      </c>
    </row>
    <row r="26" spans="1:10" ht="15">
      <c r="A26" s="58" t="s">
        <v>742</v>
      </c>
      <c r="B26" s="58" t="s">
        <v>792</v>
      </c>
      <c r="C26" s="58" t="s">
        <v>798</v>
      </c>
      <c r="D26" s="58" t="s">
        <v>805</v>
      </c>
      <c r="E26" s="58">
        <v>1069605</v>
      </c>
      <c r="F26" s="58">
        <v>39</v>
      </c>
      <c r="G26" s="58">
        <v>47902</v>
      </c>
      <c r="H26" s="69">
        <v>45295</v>
      </c>
      <c r="I26" s="58">
        <v>0.37</v>
      </c>
      <c r="J26" s="58">
        <v>3447808.4</v>
      </c>
    </row>
    <row r="27" spans="1:10" ht="15">
      <c r="A27" s="58" t="s">
        <v>743</v>
      </c>
      <c r="B27" s="58" t="s">
        <v>814</v>
      </c>
      <c r="C27" s="58" t="s">
        <v>799</v>
      </c>
      <c r="D27" s="58" t="s">
        <v>789</v>
      </c>
      <c r="E27" s="58">
        <v>4561637</v>
      </c>
      <c r="F27" s="58">
        <v>16</v>
      </c>
      <c r="G27" s="58">
        <v>91208</v>
      </c>
      <c r="H27" s="69">
        <v>44904</v>
      </c>
      <c r="I27" s="58">
        <v>0.06</v>
      </c>
      <c r="J27" s="58">
        <v>1238477.8799999999</v>
      </c>
    </row>
    <row r="28" spans="1:10" ht="15">
      <c r="A28" s="58" t="s">
        <v>745</v>
      </c>
      <c r="B28" s="58" t="s">
        <v>804</v>
      </c>
      <c r="C28" s="58" t="s">
        <v>788</v>
      </c>
      <c r="D28" s="58" t="s">
        <v>811</v>
      </c>
      <c r="E28" s="58">
        <v>2749600</v>
      </c>
      <c r="F28" s="58">
        <v>79</v>
      </c>
      <c r="G28" s="58">
        <v>331016</v>
      </c>
      <c r="H28" s="69">
        <v>45181</v>
      </c>
      <c r="I28" s="58">
        <v>0.49</v>
      </c>
      <c r="J28" s="58">
        <v>353556.63</v>
      </c>
    </row>
    <row r="29" spans="1:10" ht="15">
      <c r="A29" s="58" t="s">
        <v>749</v>
      </c>
      <c r="B29" s="58" t="s">
        <v>792</v>
      </c>
      <c r="C29" s="58" t="s">
        <v>788</v>
      </c>
      <c r="D29" s="58" t="s">
        <v>801</v>
      </c>
      <c r="E29" s="58">
        <v>3651270</v>
      </c>
      <c r="F29" s="58">
        <v>57</v>
      </c>
      <c r="G29" s="58">
        <v>323644</v>
      </c>
      <c r="H29" s="69">
        <v>45647</v>
      </c>
      <c r="I29" s="58">
        <v>0.38</v>
      </c>
      <c r="J29" s="58">
        <v>658268.52</v>
      </c>
    </row>
    <row r="30" spans="1:10" ht="15">
      <c r="A30" s="58" t="s">
        <v>749</v>
      </c>
      <c r="B30" s="58" t="s">
        <v>787</v>
      </c>
      <c r="C30" s="58" t="s">
        <v>795</v>
      </c>
      <c r="D30" s="58" t="s">
        <v>803</v>
      </c>
      <c r="E30" s="58">
        <v>3961691</v>
      </c>
      <c r="F30" s="58">
        <v>52</v>
      </c>
      <c r="G30" s="58">
        <v>266834</v>
      </c>
      <c r="H30" s="69">
        <v>45287</v>
      </c>
      <c r="I30" s="58">
        <v>0.32</v>
      </c>
      <c r="J30" s="58">
        <v>1043209.5</v>
      </c>
    </row>
    <row r="31" spans="1:10" ht="15">
      <c r="A31" s="58" t="s">
        <v>749</v>
      </c>
      <c r="B31" s="58" t="s">
        <v>794</v>
      </c>
      <c r="C31" s="58" t="s">
        <v>788</v>
      </c>
      <c r="D31" s="58" t="s">
        <v>800</v>
      </c>
      <c r="E31" s="58">
        <v>1835725</v>
      </c>
      <c r="F31" s="58">
        <v>67</v>
      </c>
      <c r="G31" s="58">
        <v>291816</v>
      </c>
      <c r="H31" s="69">
        <v>45447</v>
      </c>
      <c r="I31" s="58">
        <v>0.43</v>
      </c>
      <c r="J31" s="58">
        <v>3067831.77</v>
      </c>
    </row>
    <row r="32" spans="1:10" ht="15">
      <c r="A32" s="58" t="s">
        <v>744</v>
      </c>
      <c r="B32" s="58" t="s">
        <v>792</v>
      </c>
      <c r="C32" s="58" t="s">
        <v>807</v>
      </c>
      <c r="D32" s="58" t="s">
        <v>813</v>
      </c>
      <c r="E32" s="58">
        <v>3922417</v>
      </c>
      <c r="F32" s="58">
        <v>79</v>
      </c>
      <c r="G32" s="58">
        <v>312498</v>
      </c>
      <c r="H32" s="69">
        <v>45073</v>
      </c>
      <c r="I32" s="58">
        <v>0.44</v>
      </c>
      <c r="J32" s="58">
        <v>1093755.8999999999</v>
      </c>
    </row>
    <row r="33" spans="1:10" ht="15">
      <c r="A33" s="58" t="s">
        <v>749</v>
      </c>
      <c r="B33" s="58" t="s">
        <v>790</v>
      </c>
      <c r="C33" s="58" t="s">
        <v>799</v>
      </c>
      <c r="D33" s="58" t="s">
        <v>803</v>
      </c>
      <c r="E33" s="58">
        <v>4772527</v>
      </c>
      <c r="F33" s="58">
        <v>15</v>
      </c>
      <c r="G33" s="58">
        <v>132183</v>
      </c>
      <c r="H33" s="69">
        <v>45011</v>
      </c>
      <c r="I33" s="58">
        <v>0.44</v>
      </c>
      <c r="J33" s="58">
        <v>333222.89</v>
      </c>
    </row>
    <row r="34" spans="1:10" ht="15">
      <c r="A34" s="58" t="s">
        <v>742</v>
      </c>
      <c r="B34" s="58" t="s">
        <v>794</v>
      </c>
      <c r="C34" s="58" t="s">
        <v>809</v>
      </c>
      <c r="D34" s="58" t="s">
        <v>805</v>
      </c>
      <c r="E34" s="58">
        <v>4340492</v>
      </c>
      <c r="F34" s="58">
        <v>48</v>
      </c>
      <c r="G34" s="58">
        <v>189575</v>
      </c>
      <c r="H34" s="69">
        <v>45149</v>
      </c>
      <c r="I34" s="58">
        <v>0.01</v>
      </c>
      <c r="J34" s="58">
        <v>1667168.96</v>
      </c>
    </row>
    <row r="35" spans="1:10" ht="15">
      <c r="A35" s="58" t="s">
        <v>744</v>
      </c>
      <c r="B35" s="58" t="s">
        <v>814</v>
      </c>
      <c r="C35" s="58" t="s">
        <v>795</v>
      </c>
      <c r="D35" s="58" t="s">
        <v>805</v>
      </c>
      <c r="E35" s="58">
        <v>1910421</v>
      </c>
      <c r="F35" s="58">
        <v>9</v>
      </c>
      <c r="G35" s="58">
        <v>34228</v>
      </c>
      <c r="H35" s="69">
        <v>45358</v>
      </c>
      <c r="I35" s="58">
        <v>0.35</v>
      </c>
      <c r="J35" s="58">
        <v>1591237.44</v>
      </c>
    </row>
    <row r="36" spans="1:10" ht="15">
      <c r="A36" s="58" t="s">
        <v>745</v>
      </c>
      <c r="B36" s="58" t="s">
        <v>790</v>
      </c>
      <c r="C36" s="58" t="s">
        <v>795</v>
      </c>
      <c r="D36" s="58" t="s">
        <v>812</v>
      </c>
      <c r="E36" s="58">
        <v>1201586</v>
      </c>
      <c r="F36" s="58">
        <v>68</v>
      </c>
      <c r="G36" s="58">
        <v>59535</v>
      </c>
      <c r="H36" s="69">
        <v>45451</v>
      </c>
      <c r="I36" s="58">
        <v>0.31</v>
      </c>
      <c r="J36" s="58">
        <v>2311118.7200000002</v>
      </c>
    </row>
    <row r="37" spans="1:10" ht="15">
      <c r="A37" s="58" t="s">
        <v>740</v>
      </c>
      <c r="B37" s="58" t="s">
        <v>790</v>
      </c>
      <c r="C37" s="58" t="s">
        <v>798</v>
      </c>
      <c r="D37" s="58" t="s">
        <v>806</v>
      </c>
      <c r="E37" s="58">
        <v>1125765</v>
      </c>
      <c r="F37" s="58">
        <v>68</v>
      </c>
      <c r="G37" s="58">
        <v>175734</v>
      </c>
      <c r="H37" s="69">
        <v>44615</v>
      </c>
      <c r="I37" s="58">
        <v>0.3</v>
      </c>
      <c r="J37" s="58">
        <v>2000016.48</v>
      </c>
    </row>
    <row r="38" spans="1:10" ht="15">
      <c r="A38" s="58" t="s">
        <v>749</v>
      </c>
      <c r="B38" s="58" t="s">
        <v>797</v>
      </c>
      <c r="C38" s="58" t="s">
        <v>788</v>
      </c>
      <c r="D38" s="58" t="s">
        <v>791</v>
      </c>
      <c r="E38" s="58">
        <v>4530523</v>
      </c>
      <c r="F38" s="58">
        <v>36</v>
      </c>
      <c r="G38" s="58">
        <v>38106</v>
      </c>
      <c r="H38" s="69">
        <v>45532</v>
      </c>
      <c r="I38" s="58">
        <v>0.27</v>
      </c>
      <c r="J38" s="58">
        <v>2723328.85</v>
      </c>
    </row>
    <row r="39" spans="1:10" ht="15">
      <c r="A39" s="58" t="s">
        <v>746</v>
      </c>
      <c r="B39" s="58" t="s">
        <v>787</v>
      </c>
      <c r="C39" s="58" t="s">
        <v>795</v>
      </c>
      <c r="D39" s="58" t="s">
        <v>796</v>
      </c>
      <c r="E39" s="58">
        <v>4218622</v>
      </c>
      <c r="F39" s="58">
        <v>68</v>
      </c>
      <c r="G39" s="58">
        <v>58595</v>
      </c>
      <c r="H39" s="69">
        <v>45028</v>
      </c>
      <c r="I39" s="58">
        <v>0.45</v>
      </c>
      <c r="J39" s="58">
        <v>2498169.4</v>
      </c>
    </row>
    <row r="40" spans="1:10" ht="15">
      <c r="A40" s="58" t="s">
        <v>744</v>
      </c>
      <c r="B40" s="58" t="s">
        <v>797</v>
      </c>
      <c r="C40" s="58" t="s">
        <v>788</v>
      </c>
      <c r="D40" s="58" t="s">
        <v>789</v>
      </c>
      <c r="E40" s="58">
        <v>4087798</v>
      </c>
      <c r="F40" s="58">
        <v>19</v>
      </c>
      <c r="G40" s="58">
        <v>302910</v>
      </c>
      <c r="H40" s="69">
        <v>44816</v>
      </c>
      <c r="I40" s="58">
        <v>0.15</v>
      </c>
      <c r="J40" s="58">
        <v>691933.68</v>
      </c>
    </row>
    <row r="41" spans="1:10" ht="15">
      <c r="A41" s="58" t="s">
        <v>740</v>
      </c>
      <c r="B41" s="58" t="s">
        <v>814</v>
      </c>
      <c r="C41" s="58" t="s">
        <v>809</v>
      </c>
      <c r="D41" s="58" t="s">
        <v>805</v>
      </c>
      <c r="E41" s="58">
        <v>4541060</v>
      </c>
      <c r="F41" s="58">
        <v>90</v>
      </c>
      <c r="G41" s="58">
        <v>186740</v>
      </c>
      <c r="H41" s="69">
        <v>45266</v>
      </c>
      <c r="I41" s="58">
        <v>0.1</v>
      </c>
      <c r="J41" s="58">
        <v>2970157.12</v>
      </c>
    </row>
    <row r="42" spans="1:10" ht="15">
      <c r="A42" s="58" t="s">
        <v>749</v>
      </c>
      <c r="B42" s="58" t="s">
        <v>814</v>
      </c>
      <c r="C42" s="58" t="s">
        <v>788</v>
      </c>
      <c r="D42" s="58" t="s">
        <v>812</v>
      </c>
      <c r="E42" s="58">
        <v>2834665</v>
      </c>
      <c r="F42" s="58">
        <v>36</v>
      </c>
      <c r="G42" s="58">
        <v>117715</v>
      </c>
      <c r="H42" s="69">
        <v>45602</v>
      </c>
      <c r="I42" s="58">
        <v>0.14000000000000001</v>
      </c>
      <c r="J42" s="58">
        <v>1706114.9</v>
      </c>
    </row>
    <row r="43" spans="1:10" ht="15">
      <c r="A43" s="58" t="s">
        <v>746</v>
      </c>
      <c r="B43" s="58" t="s">
        <v>804</v>
      </c>
      <c r="C43" s="58" t="s">
        <v>788</v>
      </c>
      <c r="D43" s="58" t="s">
        <v>813</v>
      </c>
      <c r="E43" s="58">
        <v>1011183</v>
      </c>
      <c r="F43" s="58">
        <v>4</v>
      </c>
      <c r="G43" s="58">
        <v>226263</v>
      </c>
      <c r="H43" s="69">
        <v>45639</v>
      </c>
      <c r="I43" s="58">
        <v>0.28000000000000003</v>
      </c>
      <c r="J43" s="58">
        <v>1951570.4</v>
      </c>
    </row>
    <row r="44" spans="1:10" ht="15">
      <c r="A44" s="58" t="s">
        <v>741</v>
      </c>
      <c r="B44" s="58" t="s">
        <v>804</v>
      </c>
      <c r="C44" s="58" t="s">
        <v>809</v>
      </c>
      <c r="D44" s="58" t="s">
        <v>791</v>
      </c>
      <c r="E44" s="58">
        <v>3698239</v>
      </c>
      <c r="F44" s="58">
        <v>88</v>
      </c>
      <c r="G44" s="58">
        <v>473654</v>
      </c>
      <c r="H44" s="69">
        <v>44768</v>
      </c>
      <c r="I44" s="58">
        <v>0.28000000000000003</v>
      </c>
      <c r="J44" s="58">
        <v>3642141.72</v>
      </c>
    </row>
    <row r="45" spans="1:10" ht="15">
      <c r="A45" s="58" t="s">
        <v>748</v>
      </c>
      <c r="B45" s="58" t="s">
        <v>792</v>
      </c>
      <c r="C45" s="58" t="s">
        <v>788</v>
      </c>
      <c r="D45" s="58" t="s">
        <v>803</v>
      </c>
      <c r="E45" s="58">
        <v>2627265</v>
      </c>
      <c r="F45" s="58">
        <v>94</v>
      </c>
      <c r="G45" s="58">
        <v>132037</v>
      </c>
      <c r="H45" s="69">
        <v>44766</v>
      </c>
      <c r="I45" s="58">
        <v>0.2</v>
      </c>
      <c r="J45" s="58">
        <v>2440073.6800000002</v>
      </c>
    </row>
    <row r="46" spans="1:10" ht="15">
      <c r="A46" s="58" t="s">
        <v>749</v>
      </c>
      <c r="B46" s="58" t="s">
        <v>794</v>
      </c>
      <c r="C46" s="58" t="s">
        <v>807</v>
      </c>
      <c r="D46" s="58" t="s">
        <v>810</v>
      </c>
      <c r="E46" s="58">
        <v>4895055</v>
      </c>
      <c r="F46" s="58">
        <v>8</v>
      </c>
      <c r="G46" s="58">
        <v>166734</v>
      </c>
      <c r="H46" s="69">
        <v>44900</v>
      </c>
      <c r="I46" s="58">
        <v>0.05</v>
      </c>
      <c r="J46" s="58">
        <v>1294133.51</v>
      </c>
    </row>
    <row r="47" spans="1:10" ht="15">
      <c r="A47" s="58" t="s">
        <v>740</v>
      </c>
      <c r="B47" s="58" t="s">
        <v>787</v>
      </c>
      <c r="C47" s="58" t="s">
        <v>799</v>
      </c>
      <c r="D47" s="58" t="s">
        <v>796</v>
      </c>
      <c r="E47" s="58">
        <v>632679</v>
      </c>
      <c r="F47" s="58">
        <v>12</v>
      </c>
      <c r="G47" s="58">
        <v>495313</v>
      </c>
      <c r="H47" s="69">
        <v>44781</v>
      </c>
      <c r="I47" s="58">
        <v>0.11</v>
      </c>
      <c r="J47" s="58">
        <v>2779206.97</v>
      </c>
    </row>
    <row r="48" spans="1:10" ht="15">
      <c r="A48" s="58" t="s">
        <v>745</v>
      </c>
      <c r="B48" s="58" t="s">
        <v>797</v>
      </c>
      <c r="C48" s="58" t="s">
        <v>798</v>
      </c>
      <c r="D48" s="58" t="s">
        <v>805</v>
      </c>
      <c r="E48" s="58">
        <v>3168502</v>
      </c>
      <c r="F48" s="58">
        <v>50</v>
      </c>
      <c r="G48" s="58">
        <v>425082</v>
      </c>
      <c r="H48" s="69">
        <v>45033</v>
      </c>
      <c r="I48" s="58">
        <v>0.28000000000000003</v>
      </c>
      <c r="J48" s="58">
        <v>2451117.5099999998</v>
      </c>
    </row>
    <row r="49" spans="1:10" ht="15">
      <c r="A49" s="58" t="s">
        <v>743</v>
      </c>
      <c r="B49" s="58" t="s">
        <v>809</v>
      </c>
      <c r="C49" s="58" t="s">
        <v>788</v>
      </c>
      <c r="D49" s="58" t="s">
        <v>810</v>
      </c>
      <c r="E49" s="58">
        <v>2043711</v>
      </c>
      <c r="F49" s="58">
        <v>98</v>
      </c>
      <c r="G49" s="58">
        <v>59932</v>
      </c>
      <c r="H49" s="69">
        <v>45615</v>
      </c>
      <c r="I49" s="58">
        <v>0.31</v>
      </c>
      <c r="J49" s="58">
        <v>572404.44999999995</v>
      </c>
    </row>
    <row r="50" spans="1:10" ht="15">
      <c r="A50" s="58" t="s">
        <v>747</v>
      </c>
      <c r="B50" s="58" t="s">
        <v>814</v>
      </c>
      <c r="C50" s="58" t="s">
        <v>807</v>
      </c>
      <c r="D50" s="58" t="s">
        <v>813</v>
      </c>
      <c r="E50" s="58">
        <v>263042</v>
      </c>
      <c r="F50" s="58">
        <v>35</v>
      </c>
      <c r="G50" s="58">
        <v>187740</v>
      </c>
      <c r="H50" s="69">
        <v>45007</v>
      </c>
      <c r="I50" s="58">
        <v>0.31</v>
      </c>
      <c r="J50" s="58">
        <v>4265399.5999999996</v>
      </c>
    </row>
    <row r="51" spans="1:10" ht="15">
      <c r="A51" s="58" t="s">
        <v>747</v>
      </c>
      <c r="B51" s="58" t="s">
        <v>790</v>
      </c>
      <c r="C51" s="58" t="s">
        <v>798</v>
      </c>
      <c r="D51" s="58" t="s">
        <v>805</v>
      </c>
      <c r="E51" s="58">
        <v>3237190</v>
      </c>
      <c r="F51" s="58">
        <v>61</v>
      </c>
      <c r="G51" s="58">
        <v>397151</v>
      </c>
      <c r="H51" s="69">
        <v>45053</v>
      </c>
      <c r="I51" s="58">
        <v>0.01</v>
      </c>
      <c r="J51" s="58">
        <v>455937.21</v>
      </c>
    </row>
    <row r="52" spans="1:10" ht="15">
      <c r="A52" s="58" t="s">
        <v>744</v>
      </c>
      <c r="B52" s="58" t="s">
        <v>804</v>
      </c>
      <c r="C52" s="58" t="s">
        <v>793</v>
      </c>
      <c r="D52" s="58" t="s">
        <v>803</v>
      </c>
      <c r="E52" s="58">
        <v>322971</v>
      </c>
      <c r="F52" s="58">
        <v>22</v>
      </c>
      <c r="G52" s="58">
        <v>296623</v>
      </c>
      <c r="H52" s="69">
        <v>44564</v>
      </c>
      <c r="I52" s="58">
        <v>0.49</v>
      </c>
      <c r="J52" s="58">
        <v>792440.04</v>
      </c>
    </row>
    <row r="53" spans="1:10" ht="15">
      <c r="A53" s="58" t="s">
        <v>743</v>
      </c>
      <c r="B53" s="58" t="s">
        <v>790</v>
      </c>
      <c r="C53" s="58" t="s">
        <v>793</v>
      </c>
      <c r="D53" s="58" t="s">
        <v>806</v>
      </c>
      <c r="E53" s="58">
        <v>398263</v>
      </c>
      <c r="F53" s="58">
        <v>17</v>
      </c>
      <c r="G53" s="58">
        <v>175223</v>
      </c>
      <c r="H53" s="69">
        <v>44908</v>
      </c>
      <c r="I53" s="58">
        <v>0.08</v>
      </c>
      <c r="J53" s="58">
        <v>3367811.52</v>
      </c>
    </row>
    <row r="54" spans="1:10" ht="15">
      <c r="A54" s="58" t="s">
        <v>749</v>
      </c>
      <c r="B54" s="58" t="s">
        <v>797</v>
      </c>
      <c r="C54" s="58" t="s">
        <v>799</v>
      </c>
      <c r="D54" s="58" t="s">
        <v>810</v>
      </c>
      <c r="E54" s="58">
        <v>2815940</v>
      </c>
      <c r="F54" s="58">
        <v>76</v>
      </c>
      <c r="G54" s="58">
        <v>496631</v>
      </c>
      <c r="H54" s="69">
        <v>45417</v>
      </c>
      <c r="I54" s="58">
        <v>0.49</v>
      </c>
      <c r="J54" s="58">
        <v>486623.19</v>
      </c>
    </row>
    <row r="55" spans="1:10" ht="15">
      <c r="A55" s="58" t="s">
        <v>740</v>
      </c>
      <c r="B55" s="58" t="s">
        <v>792</v>
      </c>
      <c r="C55" s="58" t="s">
        <v>793</v>
      </c>
      <c r="D55" s="58" t="s">
        <v>801</v>
      </c>
      <c r="E55" s="58">
        <v>3062185</v>
      </c>
      <c r="F55" s="58">
        <v>77</v>
      </c>
      <c r="G55" s="58">
        <v>168392</v>
      </c>
      <c r="H55" s="69">
        <v>45605</v>
      </c>
      <c r="I55" s="58">
        <v>0.02</v>
      </c>
      <c r="J55" s="58">
        <v>3008686.35</v>
      </c>
    </row>
    <row r="56" spans="1:10" ht="15">
      <c r="A56" s="58" t="s">
        <v>745</v>
      </c>
      <c r="B56" s="58" t="s">
        <v>804</v>
      </c>
      <c r="C56" s="58" t="s">
        <v>807</v>
      </c>
      <c r="D56" s="58" t="s">
        <v>805</v>
      </c>
      <c r="E56" s="58">
        <v>2696142</v>
      </c>
      <c r="F56" s="58">
        <v>25</v>
      </c>
      <c r="G56" s="58">
        <v>377050</v>
      </c>
      <c r="H56" s="69">
        <v>45080</v>
      </c>
      <c r="I56" s="58">
        <v>0.31</v>
      </c>
      <c r="J56" s="58">
        <v>4499549.67</v>
      </c>
    </row>
    <row r="57" spans="1:10" ht="15">
      <c r="A57" s="58" t="s">
        <v>748</v>
      </c>
      <c r="B57" s="58" t="s">
        <v>790</v>
      </c>
      <c r="C57" s="58" t="s">
        <v>809</v>
      </c>
      <c r="D57" s="58" t="s">
        <v>811</v>
      </c>
      <c r="E57" s="58">
        <v>3976701</v>
      </c>
      <c r="F57" s="58">
        <v>94</v>
      </c>
      <c r="G57" s="58">
        <v>304628</v>
      </c>
      <c r="H57" s="69">
        <v>45036</v>
      </c>
      <c r="I57" s="58">
        <v>0.1</v>
      </c>
      <c r="J57" s="58">
        <v>34202.559999999998</v>
      </c>
    </row>
    <row r="58" spans="1:10" ht="15">
      <c r="A58" s="58" t="s">
        <v>745</v>
      </c>
      <c r="B58" s="58" t="s">
        <v>790</v>
      </c>
      <c r="C58" s="58" t="s">
        <v>809</v>
      </c>
      <c r="D58" s="58" t="s">
        <v>811</v>
      </c>
      <c r="E58" s="58">
        <v>1251490</v>
      </c>
      <c r="F58" s="58">
        <v>63</v>
      </c>
      <c r="G58" s="58">
        <v>244952</v>
      </c>
      <c r="H58" s="69">
        <v>45293</v>
      </c>
      <c r="I58" s="58">
        <v>7.0000000000000007E-2</v>
      </c>
      <c r="J58" s="58">
        <v>2841143.8</v>
      </c>
    </row>
    <row r="59" spans="1:10" ht="15">
      <c r="A59" s="58" t="s">
        <v>745</v>
      </c>
      <c r="B59" s="58" t="s">
        <v>790</v>
      </c>
      <c r="C59" s="58" t="s">
        <v>799</v>
      </c>
      <c r="D59" s="58" t="s">
        <v>812</v>
      </c>
      <c r="E59" s="58">
        <v>3186092</v>
      </c>
      <c r="F59" s="58">
        <v>28</v>
      </c>
      <c r="G59" s="58">
        <v>45883</v>
      </c>
      <c r="H59" s="69">
        <v>45012</v>
      </c>
      <c r="I59" s="58">
        <v>7.0000000000000007E-2</v>
      </c>
      <c r="J59" s="58">
        <v>1597649.48</v>
      </c>
    </row>
    <row r="60" spans="1:10" ht="15">
      <c r="A60" s="58" t="s">
        <v>740</v>
      </c>
      <c r="B60" s="58" t="s">
        <v>787</v>
      </c>
      <c r="C60" s="58" t="s">
        <v>788</v>
      </c>
      <c r="D60" s="58" t="s">
        <v>815</v>
      </c>
      <c r="E60" s="58">
        <v>1129378</v>
      </c>
      <c r="F60" s="58">
        <v>24</v>
      </c>
      <c r="G60" s="58">
        <v>443033</v>
      </c>
      <c r="H60" s="69">
        <v>45439</v>
      </c>
      <c r="I60" s="58">
        <v>0.46</v>
      </c>
      <c r="J60" s="58">
        <v>48775.23</v>
      </c>
    </row>
    <row r="61" spans="1:10" ht="15">
      <c r="A61" s="58" t="s">
        <v>745</v>
      </c>
      <c r="B61" s="58" t="s">
        <v>814</v>
      </c>
      <c r="C61" s="58" t="s">
        <v>807</v>
      </c>
      <c r="D61" s="58" t="s">
        <v>796</v>
      </c>
      <c r="E61" s="58">
        <v>988504</v>
      </c>
      <c r="F61" s="58">
        <v>26</v>
      </c>
      <c r="G61" s="58">
        <v>46086</v>
      </c>
      <c r="H61" s="69">
        <v>45539</v>
      </c>
      <c r="I61" s="58">
        <v>0.46</v>
      </c>
      <c r="J61" s="58">
        <v>475885.59</v>
      </c>
    </row>
    <row r="62" spans="1:10" ht="15">
      <c r="A62" s="58" t="s">
        <v>740</v>
      </c>
      <c r="B62" s="58" t="s">
        <v>814</v>
      </c>
      <c r="C62" s="58" t="s">
        <v>807</v>
      </c>
      <c r="D62" s="58" t="s">
        <v>811</v>
      </c>
      <c r="E62" s="58">
        <v>578200</v>
      </c>
      <c r="F62" s="58">
        <v>51</v>
      </c>
      <c r="G62" s="58">
        <v>331728</v>
      </c>
      <c r="H62" s="69">
        <v>45367</v>
      </c>
      <c r="I62" s="58">
        <v>0.32</v>
      </c>
      <c r="J62" s="58">
        <v>1847979.09</v>
      </c>
    </row>
    <row r="63" spans="1:10" ht="15">
      <c r="A63" s="58" t="s">
        <v>740</v>
      </c>
      <c r="B63" s="58" t="s">
        <v>790</v>
      </c>
      <c r="C63" s="58" t="s">
        <v>807</v>
      </c>
      <c r="D63" s="58" t="s">
        <v>796</v>
      </c>
      <c r="E63" s="58">
        <v>1172745</v>
      </c>
      <c r="F63" s="58">
        <v>72</v>
      </c>
      <c r="G63" s="58">
        <v>254002</v>
      </c>
      <c r="H63" s="69">
        <v>45638</v>
      </c>
      <c r="I63" s="58">
        <v>0.31</v>
      </c>
      <c r="J63" s="58">
        <v>1616827.5</v>
      </c>
    </row>
    <row r="64" spans="1:10" ht="15">
      <c r="A64" s="58" t="s">
        <v>744</v>
      </c>
      <c r="B64" s="58" t="s">
        <v>809</v>
      </c>
      <c r="C64" s="58" t="s">
        <v>799</v>
      </c>
      <c r="D64" s="58" t="s">
        <v>805</v>
      </c>
      <c r="E64" s="58">
        <v>1613636</v>
      </c>
      <c r="F64" s="58">
        <v>15</v>
      </c>
      <c r="G64" s="58">
        <v>67291</v>
      </c>
      <c r="H64" s="69">
        <v>44986</v>
      </c>
      <c r="I64" s="58">
        <v>0.31</v>
      </c>
      <c r="J64" s="58">
        <v>102538.6</v>
      </c>
    </row>
    <row r="65" spans="1:10" ht="15">
      <c r="A65" s="58" t="s">
        <v>743</v>
      </c>
      <c r="B65" s="58" t="s">
        <v>804</v>
      </c>
      <c r="C65" s="58" t="s">
        <v>809</v>
      </c>
      <c r="D65" s="58" t="s">
        <v>796</v>
      </c>
      <c r="E65" s="58">
        <v>3596489</v>
      </c>
      <c r="F65" s="58">
        <v>1</v>
      </c>
      <c r="G65" s="58">
        <v>421821</v>
      </c>
      <c r="H65" s="69">
        <v>44582</v>
      </c>
      <c r="I65" s="58">
        <v>0.4</v>
      </c>
      <c r="J65" s="58">
        <v>4160082.24</v>
      </c>
    </row>
    <row r="66" spans="1:10" ht="15">
      <c r="A66" s="58" t="s">
        <v>746</v>
      </c>
      <c r="B66" s="58" t="s">
        <v>790</v>
      </c>
      <c r="C66" s="58" t="s">
        <v>798</v>
      </c>
      <c r="D66" s="58" t="s">
        <v>791</v>
      </c>
      <c r="E66" s="58">
        <v>3770161</v>
      </c>
      <c r="F66" s="58">
        <v>11</v>
      </c>
      <c r="G66" s="58">
        <v>11277</v>
      </c>
      <c r="H66" s="69">
        <v>44897</v>
      </c>
      <c r="I66" s="58">
        <v>0.2</v>
      </c>
      <c r="J66" s="58">
        <v>782422.74</v>
      </c>
    </row>
    <row r="67" spans="1:10" ht="15">
      <c r="A67" s="58" t="s">
        <v>749</v>
      </c>
      <c r="B67" s="58" t="s">
        <v>814</v>
      </c>
      <c r="C67" s="58" t="s">
        <v>793</v>
      </c>
      <c r="D67" s="58" t="s">
        <v>803</v>
      </c>
      <c r="E67" s="58">
        <v>4254971</v>
      </c>
      <c r="F67" s="58">
        <v>25</v>
      </c>
      <c r="G67" s="58">
        <v>299812</v>
      </c>
      <c r="H67" s="69">
        <v>45126</v>
      </c>
      <c r="I67" s="58">
        <v>0.5</v>
      </c>
      <c r="J67" s="58">
        <v>956425.68</v>
      </c>
    </row>
    <row r="68" spans="1:10" ht="15">
      <c r="A68" s="58" t="s">
        <v>748</v>
      </c>
      <c r="B68" s="58" t="s">
        <v>792</v>
      </c>
      <c r="C68" s="58" t="s">
        <v>798</v>
      </c>
      <c r="D68" s="58" t="s">
        <v>800</v>
      </c>
      <c r="E68" s="58">
        <v>4649520</v>
      </c>
      <c r="F68" s="58">
        <v>83</v>
      </c>
      <c r="G68" s="58">
        <v>272237</v>
      </c>
      <c r="H68" s="69">
        <v>45048</v>
      </c>
      <c r="I68" s="58">
        <v>0.3</v>
      </c>
      <c r="J68" s="58">
        <v>1935015.38</v>
      </c>
    </row>
    <row r="69" spans="1:10" ht="15">
      <c r="A69" s="58" t="s">
        <v>741</v>
      </c>
      <c r="B69" s="58" t="s">
        <v>814</v>
      </c>
      <c r="C69" s="58" t="s">
        <v>799</v>
      </c>
      <c r="D69" s="58" t="s">
        <v>789</v>
      </c>
      <c r="E69" s="58">
        <v>2620750</v>
      </c>
      <c r="F69" s="58">
        <v>72</v>
      </c>
      <c r="G69" s="58">
        <v>164861</v>
      </c>
      <c r="H69" s="69">
        <v>45095</v>
      </c>
      <c r="I69" s="58">
        <v>0.32</v>
      </c>
      <c r="J69" s="58">
        <v>710669.7</v>
      </c>
    </row>
    <row r="70" spans="1:10" ht="15">
      <c r="A70" s="58" t="s">
        <v>740</v>
      </c>
      <c r="B70" s="58" t="s">
        <v>814</v>
      </c>
      <c r="C70" s="58" t="s">
        <v>793</v>
      </c>
      <c r="D70" s="58" t="s">
        <v>800</v>
      </c>
      <c r="E70" s="58">
        <v>365784</v>
      </c>
      <c r="F70" s="58">
        <v>28</v>
      </c>
      <c r="G70" s="58">
        <v>440972</v>
      </c>
      <c r="H70" s="69">
        <v>44939</v>
      </c>
      <c r="I70" s="58">
        <v>0.26</v>
      </c>
      <c r="J70" s="58">
        <v>2429316.83</v>
      </c>
    </row>
    <row r="71" spans="1:10" ht="15">
      <c r="A71" s="58" t="s">
        <v>747</v>
      </c>
      <c r="B71" s="58" t="s">
        <v>790</v>
      </c>
      <c r="C71" s="58" t="s">
        <v>809</v>
      </c>
      <c r="D71" s="58" t="s">
        <v>791</v>
      </c>
      <c r="E71" s="58">
        <v>4464547</v>
      </c>
      <c r="F71" s="58">
        <v>71</v>
      </c>
      <c r="G71" s="58">
        <v>139218</v>
      </c>
      <c r="H71" s="69">
        <v>44597</v>
      </c>
      <c r="I71" s="58">
        <v>0.24</v>
      </c>
      <c r="J71" s="58">
        <v>400177.12</v>
      </c>
    </row>
    <row r="72" spans="1:10" ht="15">
      <c r="A72" s="58" t="s">
        <v>745</v>
      </c>
      <c r="B72" s="58" t="s">
        <v>797</v>
      </c>
      <c r="C72" s="58" t="s">
        <v>799</v>
      </c>
      <c r="D72" s="58" t="s">
        <v>810</v>
      </c>
      <c r="E72" s="58">
        <v>3759110</v>
      </c>
      <c r="F72" s="58">
        <v>29</v>
      </c>
      <c r="G72" s="58">
        <v>406006</v>
      </c>
      <c r="H72" s="69">
        <v>44624</v>
      </c>
      <c r="I72" s="58">
        <v>0.09</v>
      </c>
      <c r="J72" s="58">
        <v>1571627.4</v>
      </c>
    </row>
    <row r="73" spans="1:10" ht="15">
      <c r="A73" s="58" t="s">
        <v>748</v>
      </c>
      <c r="B73" s="58" t="s">
        <v>804</v>
      </c>
      <c r="C73" s="58" t="s">
        <v>807</v>
      </c>
      <c r="D73" s="58" t="s">
        <v>811</v>
      </c>
      <c r="E73" s="58">
        <v>3421190</v>
      </c>
      <c r="F73" s="58">
        <v>99</v>
      </c>
      <c r="G73" s="58">
        <v>337959</v>
      </c>
      <c r="H73" s="69">
        <v>45060</v>
      </c>
      <c r="I73" s="58">
        <v>0.4</v>
      </c>
      <c r="J73" s="58">
        <v>375753.3</v>
      </c>
    </row>
    <row r="74" spans="1:10" ht="15">
      <c r="A74" s="58" t="s">
        <v>741</v>
      </c>
      <c r="B74" s="58" t="s">
        <v>794</v>
      </c>
      <c r="C74" s="58" t="s">
        <v>793</v>
      </c>
      <c r="D74" s="58" t="s">
        <v>805</v>
      </c>
      <c r="E74" s="58">
        <v>778844</v>
      </c>
      <c r="F74" s="58">
        <v>20</v>
      </c>
      <c r="G74" s="58">
        <v>261258</v>
      </c>
      <c r="H74" s="69">
        <v>45082</v>
      </c>
      <c r="I74" s="58">
        <v>0.25</v>
      </c>
      <c r="J74" s="58">
        <v>58056.959999999999</v>
      </c>
    </row>
    <row r="75" spans="1:10" ht="15">
      <c r="A75" s="58" t="s">
        <v>740</v>
      </c>
      <c r="B75" s="58" t="s">
        <v>808</v>
      </c>
      <c r="C75" s="58" t="s">
        <v>795</v>
      </c>
      <c r="D75" s="58" t="s">
        <v>806</v>
      </c>
      <c r="E75" s="58">
        <v>4071886</v>
      </c>
      <c r="F75" s="58">
        <v>1</v>
      </c>
      <c r="G75" s="58">
        <v>335716</v>
      </c>
      <c r="H75" s="69">
        <v>45002</v>
      </c>
      <c r="I75" s="58">
        <v>0.49</v>
      </c>
      <c r="J75" s="58">
        <v>2616466.3199999998</v>
      </c>
    </row>
    <row r="76" spans="1:10" ht="15">
      <c r="A76" s="58" t="s">
        <v>749</v>
      </c>
      <c r="B76" s="58" t="s">
        <v>804</v>
      </c>
      <c r="C76" s="58" t="s">
        <v>799</v>
      </c>
      <c r="D76" s="58" t="s">
        <v>789</v>
      </c>
      <c r="E76" s="58">
        <v>3655037</v>
      </c>
      <c r="F76" s="58">
        <v>91</v>
      </c>
      <c r="G76" s="58">
        <v>392328</v>
      </c>
      <c r="H76" s="69">
        <v>44766</v>
      </c>
      <c r="I76" s="58">
        <v>0.03</v>
      </c>
      <c r="J76" s="58">
        <v>411964.5</v>
      </c>
    </row>
    <row r="77" spans="1:10" ht="15">
      <c r="A77" s="58" t="s">
        <v>749</v>
      </c>
      <c r="B77" s="58" t="s">
        <v>814</v>
      </c>
      <c r="C77" s="58" t="s">
        <v>788</v>
      </c>
      <c r="D77" s="58" t="s">
        <v>791</v>
      </c>
      <c r="E77" s="58">
        <v>1796125</v>
      </c>
      <c r="F77" s="58">
        <v>13</v>
      </c>
      <c r="G77" s="58">
        <v>120252</v>
      </c>
      <c r="H77" s="69">
        <v>44776</v>
      </c>
      <c r="I77" s="58">
        <v>0.12</v>
      </c>
      <c r="J77" s="58">
        <v>1619665.6</v>
      </c>
    </row>
    <row r="78" spans="1:10" ht="15">
      <c r="A78" s="58" t="s">
        <v>747</v>
      </c>
      <c r="B78" s="58" t="s">
        <v>808</v>
      </c>
      <c r="C78" s="58" t="s">
        <v>795</v>
      </c>
      <c r="D78" s="58" t="s">
        <v>810</v>
      </c>
      <c r="E78" s="58">
        <v>566517</v>
      </c>
      <c r="F78" s="58">
        <v>78</v>
      </c>
      <c r="G78" s="58">
        <v>246116</v>
      </c>
      <c r="H78" s="69">
        <v>44780</v>
      </c>
      <c r="I78" s="58">
        <v>0.36</v>
      </c>
      <c r="J78" s="58">
        <v>3817469.88</v>
      </c>
    </row>
    <row r="79" spans="1:10" ht="15">
      <c r="A79" s="58" t="s">
        <v>748</v>
      </c>
      <c r="B79" s="58" t="s">
        <v>808</v>
      </c>
      <c r="C79" s="58" t="s">
        <v>788</v>
      </c>
      <c r="D79" s="58" t="s">
        <v>806</v>
      </c>
      <c r="E79" s="58">
        <v>690186</v>
      </c>
      <c r="F79" s="58">
        <v>38</v>
      </c>
      <c r="G79" s="58">
        <v>63419</v>
      </c>
      <c r="H79" s="69">
        <v>45315</v>
      </c>
      <c r="I79" s="58">
        <v>0.43</v>
      </c>
      <c r="J79" s="58">
        <v>3625446.3</v>
      </c>
    </row>
    <row r="80" spans="1:10" ht="15">
      <c r="A80" s="58" t="s">
        <v>746</v>
      </c>
      <c r="B80" s="58" t="s">
        <v>802</v>
      </c>
      <c r="C80" s="58" t="s">
        <v>809</v>
      </c>
      <c r="D80" s="58" t="s">
        <v>789</v>
      </c>
      <c r="E80" s="58">
        <v>972323</v>
      </c>
      <c r="F80" s="58">
        <v>68</v>
      </c>
      <c r="G80" s="58">
        <v>317047</v>
      </c>
      <c r="H80" s="69">
        <v>45052</v>
      </c>
      <c r="I80" s="58">
        <v>0.13</v>
      </c>
      <c r="J80" s="58">
        <v>2990870.62</v>
      </c>
    </row>
    <row r="81" spans="1:10" ht="15">
      <c r="A81" s="58" t="s">
        <v>741</v>
      </c>
      <c r="B81" s="58" t="s">
        <v>794</v>
      </c>
      <c r="C81" s="58" t="s">
        <v>799</v>
      </c>
      <c r="D81" s="58" t="s">
        <v>810</v>
      </c>
      <c r="E81" s="58">
        <v>1781254</v>
      </c>
      <c r="F81" s="58">
        <v>34</v>
      </c>
      <c r="G81" s="58">
        <v>322583</v>
      </c>
      <c r="H81" s="69">
        <v>44972</v>
      </c>
      <c r="I81" s="58">
        <v>0.08</v>
      </c>
      <c r="J81" s="58">
        <v>2774457.42</v>
      </c>
    </row>
    <row r="82" spans="1:10" ht="15">
      <c r="A82" s="58" t="s">
        <v>745</v>
      </c>
      <c r="B82" s="58" t="s">
        <v>794</v>
      </c>
      <c r="C82" s="58" t="s">
        <v>798</v>
      </c>
      <c r="D82" s="58" t="s">
        <v>811</v>
      </c>
      <c r="E82" s="58">
        <v>3336894</v>
      </c>
      <c r="F82" s="58">
        <v>89</v>
      </c>
      <c r="G82" s="58">
        <v>440289</v>
      </c>
      <c r="H82" s="69">
        <v>45523</v>
      </c>
      <c r="I82" s="58">
        <v>0.03</v>
      </c>
      <c r="J82" s="58">
        <v>1873492.8</v>
      </c>
    </row>
    <row r="83" spans="1:10" ht="15">
      <c r="A83" s="58" t="s">
        <v>747</v>
      </c>
      <c r="B83" s="58" t="s">
        <v>794</v>
      </c>
      <c r="C83" s="58" t="s">
        <v>799</v>
      </c>
      <c r="D83" s="58" t="s">
        <v>800</v>
      </c>
      <c r="E83" s="58">
        <v>4228397</v>
      </c>
      <c r="F83" s="58">
        <v>53</v>
      </c>
      <c r="G83" s="58">
        <v>450365</v>
      </c>
      <c r="H83" s="69">
        <v>45573</v>
      </c>
      <c r="I83" s="58">
        <v>0.3</v>
      </c>
      <c r="J83" s="58">
        <v>1220364.72</v>
      </c>
    </row>
    <row r="84" spans="1:10" ht="15">
      <c r="A84" s="58" t="s">
        <v>741</v>
      </c>
      <c r="B84" s="58" t="s">
        <v>802</v>
      </c>
      <c r="C84" s="58" t="s">
        <v>788</v>
      </c>
      <c r="D84" s="58" t="s">
        <v>791</v>
      </c>
      <c r="E84" s="58">
        <v>877360</v>
      </c>
      <c r="F84" s="58">
        <v>75</v>
      </c>
      <c r="G84" s="58">
        <v>135865</v>
      </c>
      <c r="H84" s="69">
        <v>45454</v>
      </c>
      <c r="I84" s="58">
        <v>0.44</v>
      </c>
      <c r="J84" s="58">
        <v>1985937.6</v>
      </c>
    </row>
    <row r="85" spans="1:10" ht="15">
      <c r="A85" s="58" t="s">
        <v>742</v>
      </c>
      <c r="B85" s="58" t="s">
        <v>802</v>
      </c>
      <c r="C85" s="58" t="s">
        <v>807</v>
      </c>
      <c r="D85" s="58" t="s">
        <v>801</v>
      </c>
      <c r="E85" s="58">
        <v>1539286</v>
      </c>
      <c r="F85" s="58">
        <v>41</v>
      </c>
      <c r="G85" s="58">
        <v>338461</v>
      </c>
      <c r="H85" s="69">
        <v>45486</v>
      </c>
      <c r="I85" s="58">
        <v>0.16</v>
      </c>
      <c r="J85" s="58">
        <v>2989123.28</v>
      </c>
    </row>
    <row r="86" spans="1:10" ht="15">
      <c r="A86" s="58" t="s">
        <v>744</v>
      </c>
      <c r="B86" s="58" t="s">
        <v>797</v>
      </c>
      <c r="C86" s="58" t="s">
        <v>807</v>
      </c>
      <c r="D86" s="58" t="s">
        <v>791</v>
      </c>
      <c r="E86" s="58">
        <v>1159008</v>
      </c>
      <c r="F86" s="58">
        <v>13</v>
      </c>
      <c r="G86" s="58">
        <v>251422</v>
      </c>
      <c r="H86" s="69">
        <v>44909</v>
      </c>
      <c r="I86" s="58">
        <v>0.13</v>
      </c>
      <c r="J86" s="58">
        <v>3997411.97</v>
      </c>
    </row>
    <row r="87" spans="1:10" ht="15">
      <c r="A87" s="58" t="s">
        <v>747</v>
      </c>
      <c r="B87" s="58" t="s">
        <v>802</v>
      </c>
      <c r="C87" s="58" t="s">
        <v>799</v>
      </c>
      <c r="D87" s="58" t="s">
        <v>801</v>
      </c>
      <c r="E87" s="58">
        <v>3109010</v>
      </c>
      <c r="F87" s="58">
        <v>67</v>
      </c>
      <c r="G87" s="58">
        <v>473748</v>
      </c>
      <c r="H87" s="69">
        <v>44652</v>
      </c>
      <c r="I87" s="58">
        <v>0.43</v>
      </c>
      <c r="J87" s="58">
        <v>170476.79999999999</v>
      </c>
    </row>
    <row r="88" spans="1:10" ht="15">
      <c r="A88" s="58" t="s">
        <v>747</v>
      </c>
      <c r="B88" s="58" t="s">
        <v>797</v>
      </c>
      <c r="C88" s="58" t="s">
        <v>793</v>
      </c>
      <c r="D88" s="58" t="s">
        <v>811</v>
      </c>
      <c r="E88" s="58">
        <v>1654268</v>
      </c>
      <c r="F88" s="58">
        <v>15</v>
      </c>
      <c r="G88" s="58">
        <v>167622</v>
      </c>
      <c r="H88" s="69">
        <v>44774</v>
      </c>
      <c r="I88" s="58">
        <v>0.47</v>
      </c>
      <c r="J88" s="58">
        <v>4069851.12</v>
      </c>
    </row>
    <row r="89" spans="1:10" ht="15">
      <c r="A89" s="58" t="s">
        <v>741</v>
      </c>
      <c r="B89" s="58" t="s">
        <v>809</v>
      </c>
      <c r="C89" s="58" t="s">
        <v>788</v>
      </c>
      <c r="D89" s="58" t="s">
        <v>805</v>
      </c>
      <c r="E89" s="58">
        <v>1581278</v>
      </c>
      <c r="F89" s="58">
        <v>19</v>
      </c>
      <c r="G89" s="58">
        <v>170642</v>
      </c>
      <c r="H89" s="69">
        <v>45458</v>
      </c>
      <c r="I89" s="58">
        <v>0.28000000000000003</v>
      </c>
      <c r="J89" s="58">
        <v>3125850.26</v>
      </c>
    </row>
    <row r="90" spans="1:10" ht="15">
      <c r="A90" s="58" t="s">
        <v>749</v>
      </c>
      <c r="B90" s="58" t="s">
        <v>804</v>
      </c>
      <c r="C90" s="58" t="s">
        <v>798</v>
      </c>
      <c r="D90" s="58" t="s">
        <v>796</v>
      </c>
      <c r="E90" s="58">
        <v>1467294</v>
      </c>
      <c r="F90" s="58">
        <v>38</v>
      </c>
      <c r="G90" s="58">
        <v>406333</v>
      </c>
      <c r="H90" s="69">
        <v>45263</v>
      </c>
      <c r="I90" s="58">
        <v>0.49</v>
      </c>
      <c r="J90" s="58">
        <v>1235527.02</v>
      </c>
    </row>
    <row r="91" spans="1:10" ht="15">
      <c r="A91" s="58" t="s">
        <v>742</v>
      </c>
      <c r="B91" s="58" t="s">
        <v>804</v>
      </c>
      <c r="C91" s="58" t="s">
        <v>788</v>
      </c>
      <c r="D91" s="58" t="s">
        <v>796</v>
      </c>
      <c r="E91" s="58">
        <v>1325168</v>
      </c>
      <c r="F91" s="58">
        <v>57</v>
      </c>
      <c r="G91" s="58">
        <v>106344</v>
      </c>
      <c r="H91" s="69">
        <v>45171</v>
      </c>
      <c r="I91" s="58">
        <v>0.18</v>
      </c>
      <c r="J91" s="58">
        <v>386076.8</v>
      </c>
    </row>
    <row r="92" spans="1:10" ht="15">
      <c r="A92" s="58" t="s">
        <v>741</v>
      </c>
      <c r="B92" s="58" t="s">
        <v>809</v>
      </c>
      <c r="C92" s="58" t="s">
        <v>807</v>
      </c>
      <c r="D92" s="58" t="s">
        <v>812</v>
      </c>
      <c r="E92" s="58">
        <v>1182592</v>
      </c>
      <c r="F92" s="58">
        <v>7</v>
      </c>
      <c r="G92" s="58">
        <v>338608</v>
      </c>
      <c r="H92" s="69">
        <v>45133</v>
      </c>
      <c r="I92" s="58">
        <v>0.48</v>
      </c>
      <c r="J92" s="58">
        <v>1538256.35</v>
      </c>
    </row>
    <row r="93" spans="1:10" ht="15">
      <c r="A93" s="58" t="s">
        <v>745</v>
      </c>
      <c r="B93" s="58" t="s">
        <v>804</v>
      </c>
      <c r="C93" s="58" t="s">
        <v>795</v>
      </c>
      <c r="D93" s="58" t="s">
        <v>806</v>
      </c>
      <c r="E93" s="58">
        <v>2968505</v>
      </c>
      <c r="F93" s="58">
        <v>75</v>
      </c>
      <c r="G93" s="58">
        <v>215862</v>
      </c>
      <c r="H93" s="69">
        <v>44644</v>
      </c>
      <c r="I93" s="58">
        <v>0.21</v>
      </c>
      <c r="J93" s="58">
        <v>3546849.67</v>
      </c>
    </row>
    <row r="94" spans="1:10" ht="15">
      <c r="A94" s="58" t="s">
        <v>746</v>
      </c>
      <c r="B94" s="58" t="s">
        <v>790</v>
      </c>
      <c r="C94" s="58" t="s">
        <v>807</v>
      </c>
      <c r="D94" s="58" t="s">
        <v>811</v>
      </c>
      <c r="E94" s="58">
        <v>3615204</v>
      </c>
      <c r="F94" s="58">
        <v>14</v>
      </c>
      <c r="G94" s="58">
        <v>205768</v>
      </c>
      <c r="H94" s="69">
        <v>44927</v>
      </c>
      <c r="I94" s="58">
        <v>0.28000000000000003</v>
      </c>
      <c r="J94" s="58">
        <v>2768400.37</v>
      </c>
    </row>
    <row r="95" spans="1:10" ht="15">
      <c r="A95" s="58" t="s">
        <v>741</v>
      </c>
      <c r="B95" s="58" t="s">
        <v>797</v>
      </c>
      <c r="C95" s="58" t="s">
        <v>788</v>
      </c>
      <c r="D95" s="58" t="s">
        <v>803</v>
      </c>
      <c r="E95" s="58">
        <v>958396</v>
      </c>
      <c r="F95" s="58">
        <v>24</v>
      </c>
      <c r="G95" s="58">
        <v>397863</v>
      </c>
      <c r="H95" s="69">
        <v>44799</v>
      </c>
      <c r="I95" s="58">
        <v>0.24</v>
      </c>
      <c r="J95" s="58">
        <v>2119900.9</v>
      </c>
    </row>
    <row r="96" spans="1:10" ht="15">
      <c r="A96" s="58" t="s">
        <v>745</v>
      </c>
      <c r="B96" s="58" t="s">
        <v>787</v>
      </c>
      <c r="C96" s="58" t="s">
        <v>799</v>
      </c>
      <c r="D96" s="58" t="s">
        <v>791</v>
      </c>
      <c r="E96" s="58">
        <v>4519052</v>
      </c>
      <c r="F96" s="58">
        <v>68</v>
      </c>
      <c r="G96" s="58">
        <v>217177</v>
      </c>
      <c r="H96" s="69">
        <v>45278</v>
      </c>
      <c r="I96" s="58">
        <v>0.01</v>
      </c>
      <c r="J96" s="58">
        <v>3030934.76</v>
      </c>
    </row>
    <row r="97" spans="1:10" ht="15">
      <c r="A97" s="58" t="s">
        <v>746</v>
      </c>
      <c r="B97" s="58" t="s">
        <v>794</v>
      </c>
      <c r="C97" s="58" t="s">
        <v>798</v>
      </c>
      <c r="D97" s="58" t="s">
        <v>811</v>
      </c>
      <c r="E97" s="58">
        <v>3566024</v>
      </c>
      <c r="F97" s="58">
        <v>81</v>
      </c>
      <c r="G97" s="58">
        <v>165728</v>
      </c>
      <c r="H97" s="69">
        <v>45279</v>
      </c>
      <c r="I97" s="58">
        <v>0.32</v>
      </c>
      <c r="J97" s="58">
        <v>3270681.6</v>
      </c>
    </row>
    <row r="98" spans="1:10" ht="15">
      <c r="A98" s="58" t="s">
        <v>745</v>
      </c>
      <c r="B98" s="58" t="s">
        <v>790</v>
      </c>
      <c r="C98" s="58" t="s">
        <v>807</v>
      </c>
      <c r="D98" s="58" t="s">
        <v>801</v>
      </c>
      <c r="E98" s="58">
        <v>4322273</v>
      </c>
      <c r="F98" s="58">
        <v>4</v>
      </c>
      <c r="G98" s="58">
        <v>60152</v>
      </c>
      <c r="H98" s="69">
        <v>45650</v>
      </c>
      <c r="I98" s="58">
        <v>0.18</v>
      </c>
      <c r="J98" s="58">
        <v>634198.41</v>
      </c>
    </row>
    <row r="99" spans="1:10" ht="15">
      <c r="A99" s="58" t="s">
        <v>747</v>
      </c>
      <c r="B99" s="58" t="s">
        <v>792</v>
      </c>
      <c r="C99" s="58" t="s">
        <v>788</v>
      </c>
      <c r="D99" s="58" t="s">
        <v>806</v>
      </c>
      <c r="E99" s="58">
        <v>493679</v>
      </c>
      <c r="F99" s="58">
        <v>30</v>
      </c>
      <c r="G99" s="58">
        <v>187267</v>
      </c>
      <c r="H99" s="69">
        <v>44837</v>
      </c>
      <c r="I99" s="58">
        <v>0</v>
      </c>
      <c r="J99" s="58">
        <v>105230.84</v>
      </c>
    </row>
    <row r="100" spans="1:10" ht="15">
      <c r="A100" s="58" t="s">
        <v>745</v>
      </c>
      <c r="B100" s="58" t="s">
        <v>797</v>
      </c>
      <c r="C100" s="58" t="s">
        <v>795</v>
      </c>
      <c r="D100" s="58" t="s">
        <v>815</v>
      </c>
      <c r="E100" s="58">
        <v>1221531</v>
      </c>
      <c r="F100" s="58">
        <v>50</v>
      </c>
      <c r="G100" s="58">
        <v>487114</v>
      </c>
      <c r="H100" s="69">
        <v>45466</v>
      </c>
      <c r="I100" s="58">
        <v>0.24</v>
      </c>
      <c r="J100" s="58">
        <v>2698858.8</v>
      </c>
    </row>
    <row r="101" spans="1:10" ht="15">
      <c r="A101" s="58" t="s">
        <v>743</v>
      </c>
      <c r="B101" s="58" t="s">
        <v>808</v>
      </c>
      <c r="C101" s="58" t="s">
        <v>809</v>
      </c>
      <c r="D101" s="58" t="s">
        <v>789</v>
      </c>
      <c r="E101" s="58">
        <v>3138281</v>
      </c>
      <c r="F101" s="58">
        <v>93</v>
      </c>
      <c r="G101" s="58">
        <v>28850</v>
      </c>
      <c r="H101" s="69">
        <v>45602</v>
      </c>
      <c r="I101" s="58">
        <v>0.19</v>
      </c>
      <c r="J101" s="58">
        <v>2972871</v>
      </c>
    </row>
    <row r="102" spans="1:10" ht="15">
      <c r="A102" s="58" t="s">
        <v>744</v>
      </c>
      <c r="B102" s="58" t="s">
        <v>802</v>
      </c>
      <c r="C102" s="58" t="s">
        <v>788</v>
      </c>
      <c r="D102" s="58" t="s">
        <v>812</v>
      </c>
      <c r="E102" s="58">
        <v>74333</v>
      </c>
      <c r="F102" s="58">
        <v>30</v>
      </c>
      <c r="G102" s="58">
        <v>486721</v>
      </c>
      <c r="H102" s="69">
        <v>44841</v>
      </c>
      <c r="I102" s="58">
        <v>0.28000000000000003</v>
      </c>
      <c r="J102" s="58">
        <v>35213.97</v>
      </c>
    </row>
    <row r="103" spans="1:10" ht="15">
      <c r="A103" s="58" t="s">
        <v>746</v>
      </c>
      <c r="B103" s="58" t="s">
        <v>794</v>
      </c>
      <c r="C103" s="58" t="s">
        <v>793</v>
      </c>
      <c r="D103" s="58" t="s">
        <v>796</v>
      </c>
      <c r="E103" s="58">
        <v>3978451</v>
      </c>
      <c r="F103" s="58">
        <v>79</v>
      </c>
      <c r="G103" s="58">
        <v>159346</v>
      </c>
      <c r="H103" s="69">
        <v>44672</v>
      </c>
      <c r="I103" s="58">
        <v>0.3</v>
      </c>
      <c r="J103" s="58">
        <v>682870.64</v>
      </c>
    </row>
    <row r="104" spans="1:10" ht="15">
      <c r="A104" s="58" t="s">
        <v>749</v>
      </c>
      <c r="B104" s="58" t="s">
        <v>790</v>
      </c>
      <c r="C104" s="58" t="s">
        <v>793</v>
      </c>
      <c r="D104" s="58" t="s">
        <v>806</v>
      </c>
      <c r="E104" s="58">
        <v>4644729</v>
      </c>
      <c r="F104" s="58">
        <v>47</v>
      </c>
      <c r="G104" s="58">
        <v>457492</v>
      </c>
      <c r="H104" s="69">
        <v>45140</v>
      </c>
      <c r="I104" s="58">
        <v>0.43</v>
      </c>
      <c r="J104" s="58">
        <v>4081953.28</v>
      </c>
    </row>
    <row r="105" spans="1:10" ht="15">
      <c r="A105" s="58" t="s">
        <v>743</v>
      </c>
      <c r="B105" s="58" t="s">
        <v>792</v>
      </c>
      <c r="C105" s="58" t="s">
        <v>788</v>
      </c>
      <c r="D105" s="58" t="s">
        <v>815</v>
      </c>
      <c r="E105" s="58">
        <v>3812210</v>
      </c>
      <c r="F105" s="58">
        <v>45</v>
      </c>
      <c r="G105" s="58">
        <v>209617</v>
      </c>
      <c r="H105" s="69">
        <v>45438</v>
      </c>
      <c r="I105" s="58">
        <v>0.42</v>
      </c>
      <c r="J105" s="58">
        <v>1276492.1399999999</v>
      </c>
    </row>
    <row r="106" spans="1:10" ht="15">
      <c r="A106" s="58" t="s">
        <v>742</v>
      </c>
      <c r="B106" s="58" t="s">
        <v>814</v>
      </c>
      <c r="C106" s="58" t="s">
        <v>807</v>
      </c>
      <c r="D106" s="58" t="s">
        <v>796</v>
      </c>
      <c r="E106" s="58">
        <v>2750381</v>
      </c>
      <c r="F106" s="58">
        <v>22</v>
      </c>
      <c r="G106" s="58">
        <v>266144</v>
      </c>
      <c r="H106" s="69">
        <v>45132</v>
      </c>
      <c r="I106" s="58">
        <v>0</v>
      </c>
      <c r="J106" s="58">
        <v>977644.5</v>
      </c>
    </row>
    <row r="107" spans="1:10" ht="15">
      <c r="A107" s="58" t="s">
        <v>745</v>
      </c>
      <c r="B107" s="58" t="s">
        <v>787</v>
      </c>
      <c r="C107" s="58" t="s">
        <v>798</v>
      </c>
      <c r="D107" s="58" t="s">
        <v>791</v>
      </c>
      <c r="E107" s="58">
        <v>2105352</v>
      </c>
      <c r="F107" s="58">
        <v>56</v>
      </c>
      <c r="G107" s="58">
        <v>310682</v>
      </c>
      <c r="H107" s="69">
        <v>45190</v>
      </c>
      <c r="I107" s="58">
        <v>0.35</v>
      </c>
      <c r="J107" s="58">
        <v>3642903.2</v>
      </c>
    </row>
    <row r="108" spans="1:10" ht="15">
      <c r="A108" s="58" t="s">
        <v>740</v>
      </c>
      <c r="B108" s="58" t="s">
        <v>809</v>
      </c>
      <c r="C108" s="58" t="s">
        <v>788</v>
      </c>
      <c r="D108" s="58" t="s">
        <v>789</v>
      </c>
      <c r="E108" s="58">
        <v>4873816</v>
      </c>
      <c r="F108" s="58">
        <v>38</v>
      </c>
      <c r="G108" s="58">
        <v>262529</v>
      </c>
      <c r="H108" s="69">
        <v>44981</v>
      </c>
      <c r="I108" s="58">
        <v>0.02</v>
      </c>
      <c r="J108" s="58">
        <v>592894.07999999996</v>
      </c>
    </row>
    <row r="109" spans="1:10" ht="15">
      <c r="A109" s="58" t="s">
        <v>745</v>
      </c>
      <c r="B109" s="58" t="s">
        <v>792</v>
      </c>
      <c r="C109" s="58" t="s">
        <v>788</v>
      </c>
      <c r="D109" s="58" t="s">
        <v>789</v>
      </c>
      <c r="E109" s="58">
        <v>1215514</v>
      </c>
      <c r="F109" s="58">
        <v>20</v>
      </c>
      <c r="G109" s="58">
        <v>252071</v>
      </c>
      <c r="H109" s="69">
        <v>45481</v>
      </c>
      <c r="I109" s="58">
        <v>0.2</v>
      </c>
      <c r="J109" s="58">
        <v>374536.6</v>
      </c>
    </row>
    <row r="110" spans="1:10" ht="15">
      <c r="A110" s="58" t="s">
        <v>749</v>
      </c>
      <c r="B110" s="58" t="s">
        <v>809</v>
      </c>
      <c r="C110" s="58" t="s">
        <v>795</v>
      </c>
      <c r="D110" s="58" t="s">
        <v>810</v>
      </c>
      <c r="E110" s="58">
        <v>1795974</v>
      </c>
      <c r="F110" s="58">
        <v>64</v>
      </c>
      <c r="G110" s="58">
        <v>228714</v>
      </c>
      <c r="H110" s="69">
        <v>45056</v>
      </c>
      <c r="I110" s="58">
        <v>0.33</v>
      </c>
      <c r="J110" s="58">
        <v>2678467.96</v>
      </c>
    </row>
    <row r="111" spans="1:10" ht="15">
      <c r="A111" s="58" t="s">
        <v>744</v>
      </c>
      <c r="B111" s="58" t="s">
        <v>797</v>
      </c>
      <c r="C111" s="58" t="s">
        <v>807</v>
      </c>
      <c r="D111" s="58" t="s">
        <v>801</v>
      </c>
      <c r="E111" s="58">
        <v>77392</v>
      </c>
      <c r="F111" s="58">
        <v>26</v>
      </c>
      <c r="G111" s="58">
        <v>88814</v>
      </c>
      <c r="H111" s="69">
        <v>45354</v>
      </c>
      <c r="I111" s="58">
        <v>0.08</v>
      </c>
      <c r="J111" s="58">
        <v>2421988.08</v>
      </c>
    </row>
    <row r="112" spans="1:10" ht="15">
      <c r="A112" s="58" t="s">
        <v>747</v>
      </c>
      <c r="B112" s="58" t="s">
        <v>794</v>
      </c>
      <c r="C112" s="58" t="s">
        <v>807</v>
      </c>
      <c r="D112" s="58" t="s">
        <v>789</v>
      </c>
      <c r="E112" s="58">
        <v>3434355</v>
      </c>
      <c r="F112" s="58">
        <v>80</v>
      </c>
      <c r="G112" s="58">
        <v>400013</v>
      </c>
      <c r="H112" s="69">
        <v>45286</v>
      </c>
      <c r="I112" s="58">
        <v>0.12</v>
      </c>
      <c r="J112" s="58">
        <v>3267829.64</v>
      </c>
    </row>
    <row r="113" spans="1:10" ht="15">
      <c r="A113" s="58" t="s">
        <v>747</v>
      </c>
      <c r="B113" s="58" t="s">
        <v>787</v>
      </c>
      <c r="C113" s="58" t="s">
        <v>798</v>
      </c>
      <c r="D113" s="58" t="s">
        <v>812</v>
      </c>
      <c r="E113" s="58">
        <v>745371</v>
      </c>
      <c r="F113" s="58">
        <v>19</v>
      </c>
      <c r="G113" s="58">
        <v>288349</v>
      </c>
      <c r="H113" s="69">
        <v>44571</v>
      </c>
      <c r="I113" s="58">
        <v>0.15</v>
      </c>
      <c r="J113" s="58">
        <v>2681568.89</v>
      </c>
    </row>
    <row r="114" spans="1:10" ht="15">
      <c r="A114" s="58" t="s">
        <v>745</v>
      </c>
      <c r="B114" s="58" t="s">
        <v>809</v>
      </c>
      <c r="C114" s="58" t="s">
        <v>788</v>
      </c>
      <c r="D114" s="58" t="s">
        <v>791</v>
      </c>
      <c r="E114" s="58">
        <v>4712492</v>
      </c>
      <c r="F114" s="58">
        <v>98</v>
      </c>
      <c r="G114" s="58">
        <v>127139</v>
      </c>
      <c r="H114" s="69">
        <v>45131</v>
      </c>
      <c r="I114" s="58">
        <v>0.02</v>
      </c>
      <c r="J114" s="58">
        <v>2247974.5499999998</v>
      </c>
    </row>
    <row r="115" spans="1:10" ht="15">
      <c r="A115" s="58" t="s">
        <v>746</v>
      </c>
      <c r="B115" s="58" t="s">
        <v>794</v>
      </c>
      <c r="C115" s="58" t="s">
        <v>793</v>
      </c>
      <c r="D115" s="58" t="s">
        <v>813</v>
      </c>
      <c r="E115" s="58">
        <v>2664981</v>
      </c>
      <c r="F115" s="58">
        <v>71</v>
      </c>
      <c r="G115" s="58">
        <v>149739</v>
      </c>
      <c r="H115" s="69">
        <v>44911</v>
      </c>
      <c r="I115" s="58">
        <v>0.49</v>
      </c>
      <c r="J115" s="58">
        <v>1631892.64</v>
      </c>
    </row>
    <row r="116" spans="1:10" ht="15">
      <c r="A116" s="58" t="s">
        <v>745</v>
      </c>
      <c r="B116" s="58" t="s">
        <v>809</v>
      </c>
      <c r="C116" s="58" t="s">
        <v>788</v>
      </c>
      <c r="D116" s="58" t="s">
        <v>801</v>
      </c>
      <c r="E116" s="58">
        <v>3122003</v>
      </c>
      <c r="F116" s="58">
        <v>17</v>
      </c>
      <c r="G116" s="58">
        <v>400034</v>
      </c>
      <c r="H116" s="69">
        <v>45286</v>
      </c>
      <c r="I116" s="58">
        <v>0.12</v>
      </c>
      <c r="J116" s="58">
        <v>2045858.4</v>
      </c>
    </row>
    <row r="117" spans="1:10" ht="15">
      <c r="A117" s="58" t="s">
        <v>740</v>
      </c>
      <c r="B117" s="58" t="s">
        <v>790</v>
      </c>
      <c r="C117" s="58" t="s">
        <v>795</v>
      </c>
      <c r="D117" s="58" t="s">
        <v>791</v>
      </c>
      <c r="E117" s="58">
        <v>260262</v>
      </c>
      <c r="F117" s="58">
        <v>51</v>
      </c>
      <c r="G117" s="58">
        <v>144946</v>
      </c>
      <c r="H117" s="69">
        <v>44798</v>
      </c>
      <c r="I117" s="58">
        <v>0.21</v>
      </c>
      <c r="J117" s="58">
        <v>1721915.01</v>
      </c>
    </row>
    <row r="118" spans="1:10" ht="15">
      <c r="A118" s="58" t="s">
        <v>745</v>
      </c>
      <c r="B118" s="58" t="s">
        <v>808</v>
      </c>
      <c r="C118" s="58" t="s">
        <v>799</v>
      </c>
      <c r="D118" s="58" t="s">
        <v>813</v>
      </c>
      <c r="E118" s="58">
        <v>2121979</v>
      </c>
      <c r="F118" s="58">
        <v>96</v>
      </c>
      <c r="G118" s="58">
        <v>328454</v>
      </c>
      <c r="H118" s="69">
        <v>45027</v>
      </c>
      <c r="I118" s="58">
        <v>0.18</v>
      </c>
      <c r="J118" s="58">
        <v>3286112.25</v>
      </c>
    </row>
    <row r="119" spans="1:10" ht="15">
      <c r="A119" s="58" t="s">
        <v>742</v>
      </c>
      <c r="B119" s="58" t="s">
        <v>808</v>
      </c>
      <c r="C119" s="58" t="s">
        <v>799</v>
      </c>
      <c r="D119" s="58" t="s">
        <v>805</v>
      </c>
      <c r="E119" s="58">
        <v>3526631</v>
      </c>
      <c r="F119" s="58">
        <v>12</v>
      </c>
      <c r="G119" s="58">
        <v>149621</v>
      </c>
      <c r="H119" s="69">
        <v>45004</v>
      </c>
      <c r="I119" s="58">
        <v>0.46</v>
      </c>
      <c r="J119" s="58">
        <v>836355.52</v>
      </c>
    </row>
    <row r="120" spans="1:10" ht="15">
      <c r="A120" s="58" t="s">
        <v>748</v>
      </c>
      <c r="B120" s="58" t="s">
        <v>790</v>
      </c>
      <c r="C120" s="58" t="s">
        <v>788</v>
      </c>
      <c r="D120" s="58" t="s">
        <v>803</v>
      </c>
      <c r="E120" s="58">
        <v>502106</v>
      </c>
      <c r="F120" s="58">
        <v>67</v>
      </c>
      <c r="G120" s="58">
        <v>478238</v>
      </c>
      <c r="H120" s="69">
        <v>45394</v>
      </c>
      <c r="I120" s="58">
        <v>0.1</v>
      </c>
      <c r="J120" s="58">
        <v>3390879.44</v>
      </c>
    </row>
    <row r="121" spans="1:10" ht="15">
      <c r="A121" s="58" t="s">
        <v>748</v>
      </c>
      <c r="B121" s="58" t="s">
        <v>804</v>
      </c>
      <c r="C121" s="58" t="s">
        <v>793</v>
      </c>
      <c r="D121" s="58" t="s">
        <v>810</v>
      </c>
      <c r="E121" s="58">
        <v>696108</v>
      </c>
      <c r="F121" s="58">
        <v>32</v>
      </c>
      <c r="G121" s="58">
        <v>245981</v>
      </c>
      <c r="H121" s="69">
        <v>44892</v>
      </c>
      <c r="I121" s="58">
        <v>0.45</v>
      </c>
      <c r="J121" s="58">
        <v>523431.48</v>
      </c>
    </row>
    <row r="122" spans="1:10" ht="15">
      <c r="A122" s="58" t="s">
        <v>744</v>
      </c>
      <c r="B122" s="58" t="s">
        <v>787</v>
      </c>
      <c r="C122" s="58" t="s">
        <v>809</v>
      </c>
      <c r="D122" s="58" t="s">
        <v>810</v>
      </c>
      <c r="E122" s="58">
        <v>3345080</v>
      </c>
      <c r="F122" s="58">
        <v>14</v>
      </c>
      <c r="G122" s="58">
        <v>418941</v>
      </c>
      <c r="H122" s="69">
        <v>44658</v>
      </c>
      <c r="I122" s="58">
        <v>0.09</v>
      </c>
      <c r="J122" s="58">
        <v>1128779.19</v>
      </c>
    </row>
    <row r="123" spans="1:10" ht="15">
      <c r="A123" s="58" t="s">
        <v>740</v>
      </c>
      <c r="B123" s="58" t="s">
        <v>802</v>
      </c>
      <c r="C123" s="58" t="s">
        <v>798</v>
      </c>
      <c r="D123" s="58" t="s">
        <v>791</v>
      </c>
      <c r="E123" s="58">
        <v>529073</v>
      </c>
      <c r="F123" s="58">
        <v>19</v>
      </c>
      <c r="G123" s="58">
        <v>109976</v>
      </c>
      <c r="H123" s="69">
        <v>44828</v>
      </c>
      <c r="I123" s="58">
        <v>0.22</v>
      </c>
      <c r="J123" s="58">
        <v>2030730.72</v>
      </c>
    </row>
    <row r="124" spans="1:10" ht="15">
      <c r="A124" s="58" t="s">
        <v>745</v>
      </c>
      <c r="B124" s="58" t="s">
        <v>809</v>
      </c>
      <c r="C124" s="58" t="s">
        <v>799</v>
      </c>
      <c r="D124" s="58" t="s">
        <v>805</v>
      </c>
      <c r="E124" s="58">
        <v>1550270</v>
      </c>
      <c r="F124" s="58">
        <v>41</v>
      </c>
      <c r="G124" s="58">
        <v>267599</v>
      </c>
      <c r="H124" s="69">
        <v>45095</v>
      </c>
      <c r="I124" s="58">
        <v>0.24</v>
      </c>
      <c r="J124" s="58">
        <v>651459.71</v>
      </c>
    </row>
    <row r="125" spans="1:10" ht="15">
      <c r="A125" s="58" t="s">
        <v>742</v>
      </c>
      <c r="B125" s="58" t="s">
        <v>794</v>
      </c>
      <c r="C125" s="58" t="s">
        <v>799</v>
      </c>
      <c r="D125" s="58" t="s">
        <v>800</v>
      </c>
      <c r="E125" s="58">
        <v>781096</v>
      </c>
      <c r="F125" s="58">
        <v>19</v>
      </c>
      <c r="G125" s="58">
        <v>454613</v>
      </c>
      <c r="H125" s="69">
        <v>44888</v>
      </c>
      <c r="I125" s="58">
        <v>0.08</v>
      </c>
      <c r="J125" s="58">
        <v>1683155.9</v>
      </c>
    </row>
    <row r="126" spans="1:10" ht="15">
      <c r="A126" s="58" t="s">
        <v>748</v>
      </c>
      <c r="B126" s="58" t="s">
        <v>809</v>
      </c>
      <c r="C126" s="58" t="s">
        <v>788</v>
      </c>
      <c r="D126" s="58" t="s">
        <v>796</v>
      </c>
      <c r="E126" s="58">
        <v>3132759</v>
      </c>
      <c r="F126" s="58">
        <v>61</v>
      </c>
      <c r="G126" s="58">
        <v>300429</v>
      </c>
      <c r="H126" s="69">
        <v>45011</v>
      </c>
      <c r="I126" s="58">
        <v>0.11</v>
      </c>
      <c r="J126" s="58">
        <v>299746.89</v>
      </c>
    </row>
    <row r="127" spans="1:10" ht="15">
      <c r="A127" s="58" t="s">
        <v>747</v>
      </c>
      <c r="B127" s="58" t="s">
        <v>790</v>
      </c>
      <c r="C127" s="58" t="s">
        <v>799</v>
      </c>
      <c r="D127" s="58" t="s">
        <v>801</v>
      </c>
      <c r="E127" s="58">
        <v>90159</v>
      </c>
      <c r="F127" s="58">
        <v>88</v>
      </c>
      <c r="G127" s="58">
        <v>19683</v>
      </c>
      <c r="H127" s="69">
        <v>45161</v>
      </c>
      <c r="I127" s="58">
        <v>0.19</v>
      </c>
      <c r="J127" s="58">
        <v>1683216.75</v>
      </c>
    </row>
    <row r="128" spans="1:10" ht="15">
      <c r="A128" s="58" t="s">
        <v>749</v>
      </c>
      <c r="B128" s="58" t="s">
        <v>794</v>
      </c>
      <c r="C128" s="58" t="s">
        <v>793</v>
      </c>
      <c r="D128" s="58" t="s">
        <v>811</v>
      </c>
      <c r="E128" s="58">
        <v>145960</v>
      </c>
      <c r="F128" s="58">
        <v>88</v>
      </c>
      <c r="G128" s="58">
        <v>250086</v>
      </c>
      <c r="H128" s="69">
        <v>44615</v>
      </c>
      <c r="I128" s="58">
        <v>0.27</v>
      </c>
      <c r="J128" s="58">
        <v>385261.5</v>
      </c>
    </row>
    <row r="129" spans="1:10" ht="15">
      <c r="A129" s="58" t="s">
        <v>748</v>
      </c>
      <c r="B129" s="58" t="s">
        <v>787</v>
      </c>
      <c r="C129" s="58" t="s">
        <v>798</v>
      </c>
      <c r="D129" s="58" t="s">
        <v>810</v>
      </c>
      <c r="E129" s="58">
        <v>3517653</v>
      </c>
      <c r="F129" s="58">
        <v>97</v>
      </c>
      <c r="G129" s="58">
        <v>81843</v>
      </c>
      <c r="H129" s="69">
        <v>45271</v>
      </c>
      <c r="I129" s="58">
        <v>0.3</v>
      </c>
      <c r="J129" s="58">
        <v>1012924.26</v>
      </c>
    </row>
    <row r="130" spans="1:10" ht="15">
      <c r="A130" s="58" t="s">
        <v>748</v>
      </c>
      <c r="B130" s="58" t="s">
        <v>809</v>
      </c>
      <c r="C130" s="58" t="s">
        <v>788</v>
      </c>
      <c r="D130" s="58" t="s">
        <v>812</v>
      </c>
      <c r="E130" s="58">
        <v>3370983</v>
      </c>
      <c r="F130" s="58">
        <v>81</v>
      </c>
      <c r="G130" s="58">
        <v>408996</v>
      </c>
      <c r="H130" s="69">
        <v>45476</v>
      </c>
      <c r="I130" s="58">
        <v>0.1</v>
      </c>
      <c r="J130" s="58">
        <v>2758014.78</v>
      </c>
    </row>
    <row r="131" spans="1:10" ht="15">
      <c r="A131" s="58" t="s">
        <v>748</v>
      </c>
      <c r="B131" s="58" t="s">
        <v>804</v>
      </c>
      <c r="C131" s="58" t="s">
        <v>795</v>
      </c>
      <c r="D131" s="58" t="s">
        <v>800</v>
      </c>
      <c r="E131" s="58">
        <v>4625373</v>
      </c>
      <c r="F131" s="58">
        <v>3</v>
      </c>
      <c r="G131" s="58">
        <v>286271</v>
      </c>
      <c r="H131" s="69">
        <v>45157</v>
      </c>
      <c r="I131" s="58">
        <v>0.5</v>
      </c>
      <c r="J131" s="58">
        <v>3970228.6</v>
      </c>
    </row>
    <row r="132" spans="1:10" ht="15">
      <c r="A132" s="58" t="s">
        <v>745</v>
      </c>
      <c r="B132" s="58" t="s">
        <v>792</v>
      </c>
      <c r="C132" s="58" t="s">
        <v>795</v>
      </c>
      <c r="D132" s="58" t="s">
        <v>796</v>
      </c>
      <c r="E132" s="58">
        <v>914322</v>
      </c>
      <c r="F132" s="58">
        <v>54</v>
      </c>
      <c r="G132" s="58">
        <v>124157</v>
      </c>
      <c r="H132" s="69">
        <v>45429</v>
      </c>
      <c r="I132" s="58">
        <v>0.47</v>
      </c>
      <c r="J132" s="58">
        <v>2345367.5699999998</v>
      </c>
    </row>
    <row r="133" spans="1:10" ht="15">
      <c r="A133" s="58" t="s">
        <v>748</v>
      </c>
      <c r="B133" s="58" t="s">
        <v>787</v>
      </c>
      <c r="C133" s="58" t="s">
        <v>807</v>
      </c>
      <c r="D133" s="58" t="s">
        <v>815</v>
      </c>
      <c r="E133" s="58">
        <v>746507</v>
      </c>
      <c r="F133" s="58">
        <v>95</v>
      </c>
      <c r="G133" s="58">
        <v>435022</v>
      </c>
      <c r="H133" s="69">
        <v>45445</v>
      </c>
      <c r="I133" s="58">
        <v>0.34</v>
      </c>
      <c r="J133" s="58">
        <v>4335462.04</v>
      </c>
    </row>
    <row r="134" spans="1:10" ht="15">
      <c r="A134" s="58" t="s">
        <v>746</v>
      </c>
      <c r="B134" s="58" t="s">
        <v>792</v>
      </c>
      <c r="C134" s="58" t="s">
        <v>809</v>
      </c>
      <c r="D134" s="58" t="s">
        <v>800</v>
      </c>
      <c r="E134" s="58">
        <v>2050671</v>
      </c>
      <c r="F134" s="58">
        <v>36</v>
      </c>
      <c r="G134" s="58">
        <v>395347</v>
      </c>
      <c r="H134" s="69">
        <v>44716</v>
      </c>
      <c r="I134" s="58">
        <v>0.43</v>
      </c>
      <c r="J134" s="58">
        <v>1710510.88</v>
      </c>
    </row>
    <row r="135" spans="1:10" ht="15">
      <c r="A135" s="58" t="s">
        <v>746</v>
      </c>
      <c r="B135" s="58" t="s">
        <v>797</v>
      </c>
      <c r="C135" s="58" t="s">
        <v>807</v>
      </c>
      <c r="D135" s="58" t="s">
        <v>813</v>
      </c>
      <c r="E135" s="58">
        <v>4447138</v>
      </c>
      <c r="F135" s="58">
        <v>57</v>
      </c>
      <c r="G135" s="58">
        <v>466243</v>
      </c>
      <c r="H135" s="69">
        <v>45466</v>
      </c>
      <c r="I135" s="58">
        <v>0.02</v>
      </c>
      <c r="J135" s="58">
        <v>2897330.58</v>
      </c>
    </row>
    <row r="136" spans="1:10" ht="15">
      <c r="A136" s="58" t="s">
        <v>743</v>
      </c>
      <c r="B136" s="58" t="s">
        <v>804</v>
      </c>
      <c r="C136" s="58" t="s">
        <v>807</v>
      </c>
      <c r="D136" s="58" t="s">
        <v>813</v>
      </c>
      <c r="E136" s="58">
        <v>932174</v>
      </c>
      <c r="F136" s="58">
        <v>39</v>
      </c>
      <c r="G136" s="58">
        <v>494134</v>
      </c>
      <c r="H136" s="69">
        <v>45152</v>
      </c>
      <c r="I136" s="58">
        <v>0.18</v>
      </c>
      <c r="J136" s="58">
        <v>3240401.4</v>
      </c>
    </row>
    <row r="137" spans="1:10" ht="15">
      <c r="A137" s="58" t="s">
        <v>743</v>
      </c>
      <c r="B137" s="58" t="s">
        <v>792</v>
      </c>
      <c r="C137" s="58" t="s">
        <v>788</v>
      </c>
      <c r="D137" s="58" t="s">
        <v>812</v>
      </c>
      <c r="E137" s="58">
        <v>2793830</v>
      </c>
      <c r="F137" s="58">
        <v>86</v>
      </c>
      <c r="G137" s="58">
        <v>499755</v>
      </c>
      <c r="H137" s="69">
        <v>44715</v>
      </c>
      <c r="I137" s="58">
        <v>0.18</v>
      </c>
      <c r="J137" s="58">
        <v>3270345.6</v>
      </c>
    </row>
    <row r="138" spans="1:10" ht="15">
      <c r="A138" s="58" t="s">
        <v>740</v>
      </c>
      <c r="B138" s="58" t="s">
        <v>809</v>
      </c>
      <c r="C138" s="58" t="s">
        <v>807</v>
      </c>
      <c r="D138" s="58" t="s">
        <v>811</v>
      </c>
      <c r="E138" s="58">
        <v>4878990</v>
      </c>
      <c r="F138" s="58">
        <v>46</v>
      </c>
      <c r="G138" s="58">
        <v>249197</v>
      </c>
      <c r="H138" s="69">
        <v>45495</v>
      </c>
      <c r="I138" s="58">
        <v>0.09</v>
      </c>
      <c r="J138" s="58">
        <v>194484.68</v>
      </c>
    </row>
    <row r="139" spans="1:10" ht="15">
      <c r="A139" s="58" t="s">
        <v>745</v>
      </c>
      <c r="B139" s="58" t="s">
        <v>790</v>
      </c>
      <c r="C139" s="58" t="s">
        <v>807</v>
      </c>
      <c r="D139" s="58" t="s">
        <v>812</v>
      </c>
      <c r="E139" s="58">
        <v>3427929</v>
      </c>
      <c r="F139" s="58">
        <v>14</v>
      </c>
      <c r="G139" s="58">
        <v>482999</v>
      </c>
      <c r="H139" s="69">
        <v>45404</v>
      </c>
      <c r="I139" s="58">
        <v>0.26</v>
      </c>
      <c r="J139" s="58">
        <v>3280103.64</v>
      </c>
    </row>
    <row r="140" spans="1:10" ht="15">
      <c r="A140" s="58" t="s">
        <v>741</v>
      </c>
      <c r="B140" s="58" t="s">
        <v>808</v>
      </c>
      <c r="C140" s="58" t="s">
        <v>795</v>
      </c>
      <c r="D140" s="58" t="s">
        <v>810</v>
      </c>
      <c r="E140" s="58">
        <v>1612315</v>
      </c>
      <c r="F140" s="58">
        <v>30</v>
      </c>
      <c r="G140" s="58">
        <v>184667</v>
      </c>
      <c r="H140" s="69">
        <v>45065</v>
      </c>
      <c r="I140" s="58">
        <v>0.1</v>
      </c>
      <c r="J140" s="58">
        <v>3259786.82</v>
      </c>
    </row>
    <row r="141" spans="1:10" ht="15">
      <c r="A141" s="58" t="s">
        <v>745</v>
      </c>
      <c r="B141" s="58" t="s">
        <v>797</v>
      </c>
      <c r="C141" s="58" t="s">
        <v>798</v>
      </c>
      <c r="D141" s="58" t="s">
        <v>789</v>
      </c>
      <c r="E141" s="58">
        <v>2119002</v>
      </c>
      <c r="F141" s="58">
        <v>18</v>
      </c>
      <c r="G141" s="58">
        <v>179919</v>
      </c>
      <c r="H141" s="69">
        <v>44807</v>
      </c>
      <c r="I141" s="58">
        <v>0.34</v>
      </c>
      <c r="J141" s="58">
        <v>469584.47</v>
      </c>
    </row>
    <row r="142" spans="1:10" ht="15">
      <c r="A142" s="58" t="s">
        <v>742</v>
      </c>
      <c r="B142" s="58" t="s">
        <v>802</v>
      </c>
      <c r="C142" s="58" t="s">
        <v>809</v>
      </c>
      <c r="D142" s="58" t="s">
        <v>810</v>
      </c>
      <c r="E142" s="58">
        <v>1333902</v>
      </c>
      <c r="F142" s="58">
        <v>9</v>
      </c>
      <c r="G142" s="58">
        <v>402487</v>
      </c>
      <c r="H142" s="69">
        <v>45602</v>
      </c>
      <c r="I142" s="58">
        <v>0.45</v>
      </c>
      <c r="J142" s="58">
        <v>4145723.05</v>
      </c>
    </row>
    <row r="143" spans="1:10" ht="15">
      <c r="A143" s="58" t="s">
        <v>749</v>
      </c>
      <c r="B143" s="58" t="s">
        <v>794</v>
      </c>
      <c r="C143" s="58" t="s">
        <v>795</v>
      </c>
      <c r="D143" s="58" t="s">
        <v>810</v>
      </c>
      <c r="E143" s="58">
        <v>3181395</v>
      </c>
      <c r="F143" s="58">
        <v>24</v>
      </c>
      <c r="G143" s="58">
        <v>28281</v>
      </c>
      <c r="H143" s="69">
        <v>45463</v>
      </c>
      <c r="I143" s="58">
        <v>0.47</v>
      </c>
      <c r="J143" s="58">
        <v>2632245.4</v>
      </c>
    </row>
    <row r="144" spans="1:10" ht="15">
      <c r="A144" s="58" t="s">
        <v>745</v>
      </c>
      <c r="B144" s="58" t="s">
        <v>794</v>
      </c>
      <c r="C144" s="58" t="s">
        <v>788</v>
      </c>
      <c r="D144" s="58" t="s">
        <v>811</v>
      </c>
      <c r="E144" s="58">
        <v>1424835</v>
      </c>
      <c r="F144" s="58">
        <v>10</v>
      </c>
      <c r="G144" s="58">
        <v>61907</v>
      </c>
      <c r="H144" s="69">
        <v>45250</v>
      </c>
      <c r="I144" s="58">
        <v>0.14000000000000001</v>
      </c>
      <c r="J144" s="58">
        <v>990134.46</v>
      </c>
    </row>
    <row r="145" spans="1:10" ht="15">
      <c r="A145" s="58" t="s">
        <v>743</v>
      </c>
      <c r="B145" s="58" t="s">
        <v>792</v>
      </c>
      <c r="C145" s="58" t="s">
        <v>807</v>
      </c>
      <c r="D145" s="58" t="s">
        <v>796</v>
      </c>
      <c r="E145" s="58">
        <v>3503044</v>
      </c>
      <c r="F145" s="58">
        <v>36</v>
      </c>
      <c r="G145" s="58">
        <v>349736</v>
      </c>
      <c r="H145" s="69">
        <v>45005</v>
      </c>
      <c r="I145" s="58">
        <v>0.04</v>
      </c>
      <c r="J145" s="58">
        <v>1558485.76</v>
      </c>
    </row>
    <row r="146" spans="1:10" ht="15">
      <c r="A146" s="58" t="s">
        <v>744</v>
      </c>
      <c r="B146" s="58" t="s">
        <v>797</v>
      </c>
      <c r="C146" s="58" t="s">
        <v>807</v>
      </c>
      <c r="D146" s="58" t="s">
        <v>789</v>
      </c>
      <c r="E146" s="58">
        <v>4714279</v>
      </c>
      <c r="F146" s="58">
        <v>37</v>
      </c>
      <c r="G146" s="58">
        <v>15878</v>
      </c>
      <c r="H146" s="69">
        <v>45419</v>
      </c>
      <c r="I146" s="58">
        <v>0.5</v>
      </c>
      <c r="J146" s="58">
        <v>1424028</v>
      </c>
    </row>
    <row r="147" spans="1:10" ht="15">
      <c r="A147" s="58" t="s">
        <v>747</v>
      </c>
      <c r="B147" s="58" t="s">
        <v>804</v>
      </c>
      <c r="C147" s="58" t="s">
        <v>799</v>
      </c>
      <c r="D147" s="58" t="s">
        <v>805</v>
      </c>
      <c r="E147" s="58">
        <v>3212043</v>
      </c>
      <c r="F147" s="58">
        <v>41</v>
      </c>
      <c r="G147" s="58">
        <v>400217</v>
      </c>
      <c r="H147" s="69">
        <v>44868</v>
      </c>
      <c r="I147" s="58">
        <v>0.26</v>
      </c>
      <c r="J147" s="58">
        <v>3052267.68</v>
      </c>
    </row>
    <row r="148" spans="1:10" ht="15">
      <c r="A148" s="58" t="s">
        <v>748</v>
      </c>
      <c r="B148" s="58" t="s">
        <v>797</v>
      </c>
      <c r="C148" s="58" t="s">
        <v>788</v>
      </c>
      <c r="D148" s="58" t="s">
        <v>810</v>
      </c>
      <c r="E148" s="58">
        <v>3176980</v>
      </c>
      <c r="F148" s="58">
        <v>35</v>
      </c>
      <c r="G148" s="58">
        <v>276452</v>
      </c>
      <c r="H148" s="69">
        <v>45040</v>
      </c>
      <c r="I148" s="58">
        <v>0.33</v>
      </c>
      <c r="J148" s="58">
        <v>805663.32</v>
      </c>
    </row>
    <row r="149" spans="1:10" ht="15">
      <c r="A149" s="58" t="s">
        <v>743</v>
      </c>
      <c r="B149" s="58" t="s">
        <v>797</v>
      </c>
      <c r="C149" s="58" t="s">
        <v>798</v>
      </c>
      <c r="D149" s="58" t="s">
        <v>810</v>
      </c>
      <c r="E149" s="58">
        <v>162411</v>
      </c>
      <c r="F149" s="58">
        <v>84</v>
      </c>
      <c r="G149" s="58">
        <v>465347</v>
      </c>
      <c r="H149" s="69">
        <v>44758</v>
      </c>
      <c r="I149" s="58">
        <v>0.19</v>
      </c>
      <c r="J149" s="58">
        <v>3825865.72</v>
      </c>
    </row>
    <row r="150" spans="1:10" ht="15">
      <c r="A150" s="58" t="s">
        <v>745</v>
      </c>
      <c r="B150" s="58" t="s">
        <v>814</v>
      </c>
      <c r="C150" s="58" t="s">
        <v>793</v>
      </c>
      <c r="D150" s="58" t="s">
        <v>801</v>
      </c>
      <c r="E150" s="58">
        <v>286737</v>
      </c>
      <c r="F150" s="58">
        <v>83</v>
      </c>
      <c r="G150" s="58">
        <v>44865</v>
      </c>
      <c r="H150" s="69">
        <v>44789</v>
      </c>
      <c r="I150" s="58">
        <v>0.36</v>
      </c>
      <c r="J150" s="58">
        <v>3391642.56</v>
      </c>
    </row>
    <row r="151" spans="1:10" ht="15">
      <c r="A151" s="58" t="s">
        <v>745</v>
      </c>
      <c r="B151" s="58" t="s">
        <v>809</v>
      </c>
      <c r="C151" s="58" t="s">
        <v>788</v>
      </c>
      <c r="D151" s="58" t="s">
        <v>801</v>
      </c>
      <c r="E151" s="58">
        <v>3015768</v>
      </c>
      <c r="F151" s="58">
        <v>77</v>
      </c>
      <c r="G151" s="58">
        <v>54585</v>
      </c>
      <c r="H151" s="69">
        <v>44640</v>
      </c>
      <c r="I151" s="58">
        <v>0.24</v>
      </c>
      <c r="J151" s="58">
        <v>1118524.44</v>
      </c>
    </row>
    <row r="152" spans="1:10" ht="15">
      <c r="A152" s="58" t="s">
        <v>742</v>
      </c>
      <c r="B152" s="58" t="s">
        <v>802</v>
      </c>
      <c r="C152" s="58" t="s">
        <v>788</v>
      </c>
      <c r="D152" s="58" t="s">
        <v>812</v>
      </c>
      <c r="E152" s="58">
        <v>2611719</v>
      </c>
      <c r="F152" s="58">
        <v>71</v>
      </c>
      <c r="G152" s="58">
        <v>166136</v>
      </c>
      <c r="H152" s="69">
        <v>44870</v>
      </c>
      <c r="I152" s="58">
        <v>0.09</v>
      </c>
      <c r="J152" s="58">
        <v>1635156.88</v>
      </c>
    </row>
    <row r="153" spans="1:10" ht="15">
      <c r="A153" s="58" t="s">
        <v>748</v>
      </c>
      <c r="B153" s="58" t="s">
        <v>814</v>
      </c>
      <c r="C153" s="58" t="s">
        <v>809</v>
      </c>
      <c r="D153" s="58" t="s">
        <v>796</v>
      </c>
      <c r="E153" s="58">
        <v>536002</v>
      </c>
      <c r="F153" s="58">
        <v>54</v>
      </c>
      <c r="G153" s="58">
        <v>474726</v>
      </c>
      <c r="H153" s="69">
        <v>45131</v>
      </c>
      <c r="I153" s="58">
        <v>0.16</v>
      </c>
      <c r="J153" s="58">
        <v>4036179.98</v>
      </c>
    </row>
    <row r="154" spans="1:10" ht="15">
      <c r="A154" s="58" t="s">
        <v>741</v>
      </c>
      <c r="B154" s="58" t="s">
        <v>802</v>
      </c>
      <c r="C154" s="58" t="s">
        <v>799</v>
      </c>
      <c r="D154" s="58" t="s">
        <v>812</v>
      </c>
      <c r="E154" s="58">
        <v>4116521</v>
      </c>
      <c r="F154" s="58">
        <v>15</v>
      </c>
      <c r="G154" s="58">
        <v>16398</v>
      </c>
      <c r="H154" s="69">
        <v>45342</v>
      </c>
      <c r="I154" s="58">
        <v>0.22</v>
      </c>
      <c r="J154" s="58">
        <v>3060014.91</v>
      </c>
    </row>
    <row r="155" spans="1:10" ht="15">
      <c r="A155" s="58" t="s">
        <v>742</v>
      </c>
      <c r="B155" s="58" t="s">
        <v>787</v>
      </c>
      <c r="C155" s="58" t="s">
        <v>788</v>
      </c>
      <c r="D155" s="58" t="s">
        <v>803</v>
      </c>
      <c r="E155" s="58">
        <v>3035755</v>
      </c>
      <c r="F155" s="58">
        <v>65</v>
      </c>
      <c r="G155" s="58">
        <v>319409</v>
      </c>
      <c r="H155" s="69">
        <v>45410</v>
      </c>
      <c r="I155" s="58">
        <v>0.39</v>
      </c>
      <c r="J155" s="58">
        <v>306772.2</v>
      </c>
    </row>
    <row r="156" spans="1:10" ht="15">
      <c r="A156" s="58" t="s">
        <v>747</v>
      </c>
      <c r="B156" s="58" t="s">
        <v>790</v>
      </c>
      <c r="C156" s="58" t="s">
        <v>795</v>
      </c>
      <c r="D156" s="58" t="s">
        <v>812</v>
      </c>
      <c r="E156" s="58">
        <v>1349464</v>
      </c>
      <c r="F156" s="58">
        <v>69</v>
      </c>
      <c r="G156" s="58">
        <v>260124</v>
      </c>
      <c r="H156" s="69">
        <v>44928</v>
      </c>
      <c r="I156" s="58">
        <v>0.08</v>
      </c>
      <c r="J156" s="58">
        <v>336078.54</v>
      </c>
    </row>
    <row r="157" spans="1:10" ht="15">
      <c r="A157" s="58" t="s">
        <v>740</v>
      </c>
      <c r="B157" s="58" t="s">
        <v>808</v>
      </c>
      <c r="C157" s="58" t="s">
        <v>795</v>
      </c>
      <c r="D157" s="58" t="s">
        <v>813</v>
      </c>
      <c r="E157" s="58">
        <v>4527983</v>
      </c>
      <c r="F157" s="58">
        <v>61</v>
      </c>
      <c r="G157" s="58">
        <v>100248</v>
      </c>
      <c r="H157" s="69">
        <v>44843</v>
      </c>
      <c r="I157" s="58">
        <v>0.39</v>
      </c>
      <c r="J157" s="58">
        <v>3122479.78</v>
      </c>
    </row>
    <row r="158" spans="1:10" ht="15">
      <c r="A158" s="58" t="s">
        <v>745</v>
      </c>
      <c r="B158" s="58" t="s">
        <v>804</v>
      </c>
      <c r="C158" s="58" t="s">
        <v>798</v>
      </c>
      <c r="D158" s="58" t="s">
        <v>800</v>
      </c>
      <c r="E158" s="58">
        <v>4336682</v>
      </c>
      <c r="F158" s="58">
        <v>91</v>
      </c>
      <c r="G158" s="58">
        <v>23278</v>
      </c>
      <c r="H158" s="69">
        <v>45621</v>
      </c>
      <c r="I158" s="58">
        <v>0.27</v>
      </c>
      <c r="J158" s="58">
        <v>1401657.39</v>
      </c>
    </row>
    <row r="159" spans="1:10" ht="15">
      <c r="A159" s="58" t="s">
        <v>743</v>
      </c>
      <c r="B159" s="58" t="s">
        <v>808</v>
      </c>
      <c r="C159" s="58" t="s">
        <v>788</v>
      </c>
      <c r="D159" s="58" t="s">
        <v>796</v>
      </c>
      <c r="E159" s="58">
        <v>860242</v>
      </c>
      <c r="F159" s="58">
        <v>82</v>
      </c>
      <c r="G159" s="58">
        <v>3889</v>
      </c>
      <c r="H159" s="69">
        <v>44696</v>
      </c>
      <c r="I159" s="58">
        <v>0.46</v>
      </c>
      <c r="J159" s="58">
        <v>1805062.05</v>
      </c>
    </row>
    <row r="160" spans="1:10" ht="15">
      <c r="A160" s="58" t="s">
        <v>749</v>
      </c>
      <c r="B160" s="58" t="s">
        <v>794</v>
      </c>
      <c r="C160" s="58" t="s">
        <v>799</v>
      </c>
      <c r="D160" s="58" t="s">
        <v>803</v>
      </c>
      <c r="E160" s="58">
        <v>4302282</v>
      </c>
      <c r="F160" s="58">
        <v>88</v>
      </c>
      <c r="G160" s="58">
        <v>349143</v>
      </c>
      <c r="H160" s="69">
        <v>45557</v>
      </c>
      <c r="I160" s="58">
        <v>0.38</v>
      </c>
      <c r="J160" s="58">
        <v>936297.6</v>
      </c>
    </row>
    <row r="161" spans="1:10" ht="15">
      <c r="A161" s="58" t="s">
        <v>745</v>
      </c>
      <c r="B161" s="58" t="s">
        <v>794</v>
      </c>
      <c r="C161" s="58" t="s">
        <v>809</v>
      </c>
      <c r="D161" s="58" t="s">
        <v>803</v>
      </c>
      <c r="E161" s="58">
        <v>4465768</v>
      </c>
      <c r="F161" s="58">
        <v>63</v>
      </c>
      <c r="G161" s="58">
        <v>448561</v>
      </c>
      <c r="H161" s="69">
        <v>45165</v>
      </c>
      <c r="I161" s="58">
        <v>0.05</v>
      </c>
      <c r="J161" s="58">
        <v>1815051.25</v>
      </c>
    </row>
    <row r="162" spans="1:10" ht="15">
      <c r="A162" s="58" t="s">
        <v>747</v>
      </c>
      <c r="B162" s="58" t="s">
        <v>794</v>
      </c>
      <c r="C162" s="58" t="s">
        <v>799</v>
      </c>
      <c r="D162" s="58" t="s">
        <v>806</v>
      </c>
      <c r="E162" s="58">
        <v>4191579</v>
      </c>
      <c r="F162" s="58">
        <v>35</v>
      </c>
      <c r="G162" s="58">
        <v>421379</v>
      </c>
      <c r="H162" s="69">
        <v>45267</v>
      </c>
      <c r="I162" s="58">
        <v>0.19</v>
      </c>
      <c r="J162" s="58">
        <v>726160</v>
      </c>
    </row>
    <row r="163" spans="1:10" ht="15">
      <c r="A163" s="58" t="s">
        <v>746</v>
      </c>
      <c r="B163" s="58" t="s">
        <v>787</v>
      </c>
      <c r="C163" s="58" t="s">
        <v>799</v>
      </c>
      <c r="D163" s="58" t="s">
        <v>801</v>
      </c>
      <c r="E163" s="58">
        <v>1623160</v>
      </c>
      <c r="F163" s="58">
        <v>73</v>
      </c>
      <c r="G163" s="58">
        <v>99921</v>
      </c>
      <c r="H163" s="69">
        <v>45242</v>
      </c>
      <c r="I163" s="58">
        <v>0.2</v>
      </c>
      <c r="J163" s="58">
        <v>301640.17</v>
      </c>
    </row>
    <row r="164" spans="1:10" ht="15">
      <c r="A164" s="58" t="s">
        <v>743</v>
      </c>
      <c r="B164" s="58" t="s">
        <v>787</v>
      </c>
      <c r="C164" s="58" t="s">
        <v>799</v>
      </c>
      <c r="D164" s="58" t="s">
        <v>789</v>
      </c>
      <c r="E164" s="58">
        <v>3574594</v>
      </c>
      <c r="F164" s="58">
        <v>75</v>
      </c>
      <c r="G164" s="58">
        <v>227132</v>
      </c>
      <c r="H164" s="69">
        <v>45550</v>
      </c>
      <c r="I164" s="58">
        <v>7.0000000000000007E-2</v>
      </c>
      <c r="J164" s="58">
        <v>342855.67999999999</v>
      </c>
    </row>
    <row r="165" spans="1:10" ht="15">
      <c r="A165" s="58" t="s">
        <v>745</v>
      </c>
      <c r="B165" s="58" t="s">
        <v>797</v>
      </c>
      <c r="C165" s="58" t="s">
        <v>795</v>
      </c>
      <c r="D165" s="58" t="s">
        <v>803</v>
      </c>
      <c r="E165" s="58">
        <v>1266713</v>
      </c>
      <c r="F165" s="58">
        <v>90</v>
      </c>
      <c r="G165" s="58">
        <v>252043</v>
      </c>
      <c r="H165" s="69">
        <v>45007</v>
      </c>
      <c r="I165" s="58">
        <v>0.15</v>
      </c>
      <c r="J165" s="58">
        <v>1558388.16</v>
      </c>
    </row>
    <row r="166" spans="1:10" ht="15">
      <c r="A166" s="58" t="s">
        <v>743</v>
      </c>
      <c r="B166" s="58" t="s">
        <v>797</v>
      </c>
      <c r="C166" s="58" t="s">
        <v>809</v>
      </c>
      <c r="D166" s="58" t="s">
        <v>813</v>
      </c>
      <c r="E166" s="58">
        <v>1108750</v>
      </c>
      <c r="F166" s="58">
        <v>18</v>
      </c>
      <c r="G166" s="58">
        <v>250300</v>
      </c>
      <c r="H166" s="69">
        <v>45113</v>
      </c>
      <c r="I166" s="58">
        <v>0.19</v>
      </c>
      <c r="J166" s="58">
        <v>2917020.47</v>
      </c>
    </row>
    <row r="167" spans="1:10" ht="15">
      <c r="A167" s="58" t="s">
        <v>742</v>
      </c>
      <c r="B167" s="58" t="s">
        <v>790</v>
      </c>
      <c r="C167" s="58" t="s">
        <v>799</v>
      </c>
      <c r="D167" s="58" t="s">
        <v>796</v>
      </c>
      <c r="E167" s="58">
        <v>3401916</v>
      </c>
      <c r="F167" s="58">
        <v>63</v>
      </c>
      <c r="G167" s="58">
        <v>400743</v>
      </c>
      <c r="H167" s="69">
        <v>45233</v>
      </c>
      <c r="I167" s="58">
        <v>0.27</v>
      </c>
      <c r="J167" s="58">
        <v>929988.24</v>
      </c>
    </row>
    <row r="168" spans="1:10" ht="15">
      <c r="A168" s="58" t="s">
        <v>748</v>
      </c>
      <c r="B168" s="58" t="s">
        <v>790</v>
      </c>
      <c r="C168" s="58" t="s">
        <v>788</v>
      </c>
      <c r="D168" s="58" t="s">
        <v>815</v>
      </c>
      <c r="E168" s="58">
        <v>3558185</v>
      </c>
      <c r="F168" s="58">
        <v>58</v>
      </c>
      <c r="G168" s="58">
        <v>162880</v>
      </c>
      <c r="H168" s="69">
        <v>45480</v>
      </c>
      <c r="I168" s="58">
        <v>0.25</v>
      </c>
      <c r="J168" s="58">
        <v>3247227.48</v>
      </c>
    </row>
    <row r="169" spans="1:10" ht="15">
      <c r="A169" s="58" t="s">
        <v>748</v>
      </c>
      <c r="B169" s="58" t="s">
        <v>814</v>
      </c>
      <c r="C169" s="58" t="s">
        <v>795</v>
      </c>
      <c r="D169" s="58" t="s">
        <v>805</v>
      </c>
      <c r="E169" s="58">
        <v>3579455</v>
      </c>
      <c r="F169" s="58">
        <v>79</v>
      </c>
      <c r="G169" s="58">
        <v>397564</v>
      </c>
      <c r="H169" s="69">
        <v>45341</v>
      </c>
      <c r="I169" s="58">
        <v>0.35</v>
      </c>
      <c r="J169" s="58">
        <v>1813766.08</v>
      </c>
    </row>
    <row r="170" spans="1:10" ht="15">
      <c r="A170" s="58" t="s">
        <v>748</v>
      </c>
      <c r="B170" s="58" t="s">
        <v>814</v>
      </c>
      <c r="C170" s="58" t="s">
        <v>798</v>
      </c>
      <c r="D170" s="58" t="s">
        <v>810</v>
      </c>
      <c r="E170" s="58">
        <v>791409</v>
      </c>
      <c r="F170" s="58">
        <v>19</v>
      </c>
      <c r="G170" s="58">
        <v>448447</v>
      </c>
      <c r="H170" s="69">
        <v>45604</v>
      </c>
      <c r="I170" s="58">
        <v>0.47</v>
      </c>
      <c r="J170" s="58">
        <v>2569608.75</v>
      </c>
    </row>
    <row r="171" spans="1:10" ht="15">
      <c r="A171" s="58" t="s">
        <v>749</v>
      </c>
      <c r="B171" s="58" t="s">
        <v>797</v>
      </c>
      <c r="C171" s="58" t="s">
        <v>788</v>
      </c>
      <c r="D171" s="58" t="s">
        <v>796</v>
      </c>
      <c r="E171" s="58">
        <v>3915210</v>
      </c>
      <c r="F171" s="58">
        <v>53</v>
      </c>
      <c r="G171" s="58">
        <v>246699</v>
      </c>
      <c r="H171" s="69">
        <v>44933</v>
      </c>
      <c r="I171" s="58">
        <v>0.47</v>
      </c>
      <c r="J171" s="58">
        <v>1471051.2</v>
      </c>
    </row>
    <row r="172" spans="1:10" ht="15">
      <c r="A172" s="58" t="s">
        <v>746</v>
      </c>
      <c r="B172" s="58" t="s">
        <v>790</v>
      </c>
      <c r="C172" s="58" t="s">
        <v>807</v>
      </c>
      <c r="D172" s="58" t="s">
        <v>789</v>
      </c>
      <c r="E172" s="58">
        <v>3923362</v>
      </c>
      <c r="F172" s="58">
        <v>48</v>
      </c>
      <c r="G172" s="58">
        <v>304901</v>
      </c>
      <c r="H172" s="69">
        <v>45600</v>
      </c>
      <c r="I172" s="58">
        <v>0.13</v>
      </c>
      <c r="J172" s="58">
        <v>1528747.02</v>
      </c>
    </row>
    <row r="173" spans="1:10" ht="15">
      <c r="A173" s="58" t="s">
        <v>745</v>
      </c>
      <c r="B173" s="58" t="s">
        <v>792</v>
      </c>
      <c r="C173" s="58" t="s">
        <v>798</v>
      </c>
      <c r="D173" s="58" t="s">
        <v>815</v>
      </c>
      <c r="E173" s="58">
        <v>1663987</v>
      </c>
      <c r="F173" s="58">
        <v>7</v>
      </c>
      <c r="G173" s="58">
        <v>456040</v>
      </c>
      <c r="H173" s="69">
        <v>45063</v>
      </c>
      <c r="I173" s="58">
        <v>0.23</v>
      </c>
      <c r="J173" s="58">
        <v>561913.1</v>
      </c>
    </row>
    <row r="174" spans="1:10" ht="15">
      <c r="A174" s="58" t="s">
        <v>745</v>
      </c>
      <c r="B174" s="58" t="s">
        <v>794</v>
      </c>
      <c r="C174" s="58" t="s">
        <v>793</v>
      </c>
      <c r="D174" s="58" t="s">
        <v>813</v>
      </c>
      <c r="E174" s="58">
        <v>4390505</v>
      </c>
      <c r="F174" s="58">
        <v>78</v>
      </c>
      <c r="G174" s="58">
        <v>171685</v>
      </c>
      <c r="H174" s="69">
        <v>45549</v>
      </c>
      <c r="I174" s="58">
        <v>0.12</v>
      </c>
      <c r="J174" s="58">
        <v>1318412.6399999999</v>
      </c>
    </row>
    <row r="175" spans="1:10" ht="15">
      <c r="A175" s="58" t="s">
        <v>745</v>
      </c>
      <c r="B175" s="58" t="s">
        <v>790</v>
      </c>
      <c r="C175" s="58" t="s">
        <v>809</v>
      </c>
      <c r="D175" s="58" t="s">
        <v>805</v>
      </c>
      <c r="E175" s="58">
        <v>3602273</v>
      </c>
      <c r="F175" s="58">
        <v>63</v>
      </c>
      <c r="G175" s="58">
        <v>205914</v>
      </c>
      <c r="H175" s="69">
        <v>44732</v>
      </c>
      <c r="I175" s="58">
        <v>0.05</v>
      </c>
      <c r="J175" s="58">
        <v>3817189.92</v>
      </c>
    </row>
    <row r="176" spans="1:10" ht="15">
      <c r="A176" s="58" t="s">
        <v>744</v>
      </c>
      <c r="B176" s="58" t="s">
        <v>790</v>
      </c>
      <c r="C176" s="58" t="s">
        <v>788</v>
      </c>
      <c r="D176" s="58" t="s">
        <v>789</v>
      </c>
      <c r="E176" s="58">
        <v>3000348</v>
      </c>
      <c r="F176" s="58">
        <v>31</v>
      </c>
      <c r="G176" s="58">
        <v>388367</v>
      </c>
      <c r="H176" s="69">
        <v>44817</v>
      </c>
      <c r="I176" s="58">
        <v>0.19</v>
      </c>
      <c r="J176" s="58">
        <v>3213549.24</v>
      </c>
    </row>
    <row r="177" spans="1:10" ht="15">
      <c r="A177" s="58" t="s">
        <v>741</v>
      </c>
      <c r="B177" s="58" t="s">
        <v>808</v>
      </c>
      <c r="C177" s="58" t="s">
        <v>788</v>
      </c>
      <c r="D177" s="58" t="s">
        <v>815</v>
      </c>
      <c r="E177" s="58">
        <v>20772</v>
      </c>
      <c r="F177" s="58">
        <v>51</v>
      </c>
      <c r="G177" s="58">
        <v>462794</v>
      </c>
      <c r="H177" s="69">
        <v>44941</v>
      </c>
      <c r="I177" s="58">
        <v>0.01</v>
      </c>
      <c r="J177" s="58">
        <v>1821535.56</v>
      </c>
    </row>
    <row r="178" spans="1:10" ht="15">
      <c r="A178" s="58" t="s">
        <v>743</v>
      </c>
      <c r="B178" s="58" t="s">
        <v>804</v>
      </c>
      <c r="C178" s="58" t="s">
        <v>809</v>
      </c>
      <c r="D178" s="58" t="s">
        <v>811</v>
      </c>
      <c r="E178" s="58">
        <v>4996506</v>
      </c>
      <c r="F178" s="58">
        <v>99</v>
      </c>
      <c r="G178" s="58">
        <v>95375</v>
      </c>
      <c r="H178" s="69">
        <v>44897</v>
      </c>
      <c r="I178" s="58">
        <v>0.49</v>
      </c>
      <c r="J178" s="58">
        <v>2407981.42</v>
      </c>
    </row>
    <row r="179" spans="1:10" ht="15">
      <c r="A179" s="58" t="s">
        <v>742</v>
      </c>
      <c r="B179" s="58" t="s">
        <v>809</v>
      </c>
      <c r="C179" s="58" t="s">
        <v>788</v>
      </c>
      <c r="D179" s="58" t="s">
        <v>815</v>
      </c>
      <c r="E179" s="58">
        <v>1584165</v>
      </c>
      <c r="F179" s="58">
        <v>80</v>
      </c>
      <c r="G179" s="58">
        <v>366409</v>
      </c>
      <c r="H179" s="69">
        <v>44784</v>
      </c>
      <c r="I179" s="58">
        <v>0.26</v>
      </c>
      <c r="J179" s="58">
        <v>1374403.8</v>
      </c>
    </row>
    <row r="180" spans="1:10" ht="15">
      <c r="A180" s="58" t="s">
        <v>743</v>
      </c>
      <c r="B180" s="58" t="s">
        <v>804</v>
      </c>
      <c r="C180" s="58" t="s">
        <v>788</v>
      </c>
      <c r="D180" s="58" t="s">
        <v>796</v>
      </c>
      <c r="E180" s="58">
        <v>165398</v>
      </c>
      <c r="F180" s="58">
        <v>65</v>
      </c>
      <c r="G180" s="58">
        <v>36148</v>
      </c>
      <c r="H180" s="69">
        <v>45272</v>
      </c>
      <c r="I180" s="58">
        <v>0.06</v>
      </c>
      <c r="J180" s="58">
        <v>3486083.04</v>
      </c>
    </row>
    <row r="181" spans="1:10" ht="15">
      <c r="A181" s="58" t="s">
        <v>745</v>
      </c>
      <c r="B181" s="58" t="s">
        <v>808</v>
      </c>
      <c r="C181" s="58" t="s">
        <v>799</v>
      </c>
      <c r="D181" s="58" t="s">
        <v>800</v>
      </c>
      <c r="E181" s="58">
        <v>4619016</v>
      </c>
      <c r="F181" s="58">
        <v>11</v>
      </c>
      <c r="G181" s="58">
        <v>24479</v>
      </c>
      <c r="H181" s="69">
        <v>44792</v>
      </c>
      <c r="I181" s="58">
        <v>0.17</v>
      </c>
      <c r="J181" s="58">
        <v>750865.31</v>
      </c>
    </row>
    <row r="182" spans="1:10" ht="15">
      <c r="A182" s="58" t="s">
        <v>743</v>
      </c>
      <c r="B182" s="58" t="s">
        <v>794</v>
      </c>
      <c r="C182" s="58" t="s">
        <v>788</v>
      </c>
      <c r="D182" s="58" t="s">
        <v>789</v>
      </c>
      <c r="E182" s="58">
        <v>213893</v>
      </c>
      <c r="F182" s="58">
        <v>48</v>
      </c>
      <c r="G182" s="58">
        <v>130091</v>
      </c>
      <c r="H182" s="69">
        <v>45566</v>
      </c>
      <c r="I182" s="58">
        <v>0.35</v>
      </c>
      <c r="J182" s="58">
        <v>424548.74</v>
      </c>
    </row>
    <row r="183" spans="1:10" ht="15">
      <c r="A183" s="58" t="s">
        <v>740</v>
      </c>
      <c r="B183" s="58" t="s">
        <v>792</v>
      </c>
      <c r="C183" s="58" t="s">
        <v>809</v>
      </c>
      <c r="D183" s="58" t="s">
        <v>812</v>
      </c>
      <c r="E183" s="58">
        <v>2111321</v>
      </c>
      <c r="F183" s="58">
        <v>89</v>
      </c>
      <c r="G183" s="58">
        <v>185260</v>
      </c>
      <c r="H183" s="69">
        <v>45364</v>
      </c>
      <c r="I183" s="58">
        <v>0.14000000000000001</v>
      </c>
      <c r="J183" s="58">
        <v>2040297.35</v>
      </c>
    </row>
    <row r="184" spans="1:10" ht="15">
      <c r="A184" s="58" t="s">
        <v>749</v>
      </c>
      <c r="B184" s="58" t="s">
        <v>787</v>
      </c>
      <c r="C184" s="58" t="s">
        <v>793</v>
      </c>
      <c r="D184" s="58" t="s">
        <v>805</v>
      </c>
      <c r="E184" s="58">
        <v>4628494</v>
      </c>
      <c r="F184" s="58">
        <v>5</v>
      </c>
      <c r="G184" s="58">
        <v>253928</v>
      </c>
      <c r="H184" s="69">
        <v>45604</v>
      </c>
      <c r="I184" s="58">
        <v>0.03</v>
      </c>
      <c r="J184" s="58">
        <v>4519765.4400000004</v>
      </c>
    </row>
    <row r="185" spans="1:10" ht="15">
      <c r="A185" s="58" t="s">
        <v>741</v>
      </c>
      <c r="B185" s="58" t="s">
        <v>804</v>
      </c>
      <c r="C185" s="58" t="s">
        <v>807</v>
      </c>
      <c r="D185" s="58" t="s">
        <v>803</v>
      </c>
      <c r="E185" s="58">
        <v>1807982</v>
      </c>
      <c r="F185" s="58">
        <v>59</v>
      </c>
      <c r="G185" s="58">
        <v>6181</v>
      </c>
      <c r="H185" s="69">
        <v>45559</v>
      </c>
      <c r="I185" s="58">
        <v>0.36</v>
      </c>
      <c r="J185" s="58">
        <v>2711620.8</v>
      </c>
    </row>
    <row r="186" spans="1:10" ht="15">
      <c r="A186" s="58" t="s">
        <v>741</v>
      </c>
      <c r="B186" s="58" t="s">
        <v>814</v>
      </c>
      <c r="C186" s="58" t="s">
        <v>793</v>
      </c>
      <c r="D186" s="58" t="s">
        <v>813</v>
      </c>
      <c r="E186" s="58">
        <v>4674812</v>
      </c>
      <c r="F186" s="58">
        <v>26</v>
      </c>
      <c r="G186" s="58">
        <v>86052</v>
      </c>
      <c r="H186" s="69">
        <v>44762</v>
      </c>
      <c r="I186" s="58">
        <v>0.39</v>
      </c>
      <c r="J186" s="58">
        <v>2626726.4</v>
      </c>
    </row>
    <row r="187" spans="1:10" ht="15">
      <c r="A187" s="58" t="s">
        <v>741</v>
      </c>
      <c r="B187" s="58" t="s">
        <v>814</v>
      </c>
      <c r="C187" s="58" t="s">
        <v>793</v>
      </c>
      <c r="D187" s="58" t="s">
        <v>812</v>
      </c>
      <c r="E187" s="58">
        <v>2861203</v>
      </c>
      <c r="F187" s="58">
        <v>18</v>
      </c>
      <c r="G187" s="58">
        <v>46282</v>
      </c>
      <c r="H187" s="69">
        <v>45360</v>
      </c>
      <c r="I187" s="58">
        <v>0.45</v>
      </c>
      <c r="J187" s="58">
        <v>554893.21</v>
      </c>
    </row>
    <row r="188" spans="1:10" ht="15">
      <c r="A188" s="58" t="s">
        <v>746</v>
      </c>
      <c r="B188" s="58" t="s">
        <v>814</v>
      </c>
      <c r="C188" s="58" t="s">
        <v>807</v>
      </c>
      <c r="D188" s="58" t="s">
        <v>815</v>
      </c>
      <c r="E188" s="58">
        <v>4375326</v>
      </c>
      <c r="F188" s="58">
        <v>76</v>
      </c>
      <c r="G188" s="58">
        <v>129970</v>
      </c>
      <c r="H188" s="69">
        <v>44819</v>
      </c>
      <c r="I188" s="58">
        <v>0.22</v>
      </c>
      <c r="J188" s="58">
        <v>2808990.92</v>
      </c>
    </row>
    <row r="189" spans="1:10" ht="15">
      <c r="A189" s="58" t="s">
        <v>747</v>
      </c>
      <c r="B189" s="58" t="s">
        <v>794</v>
      </c>
      <c r="C189" s="58" t="s">
        <v>799</v>
      </c>
      <c r="D189" s="58" t="s">
        <v>796</v>
      </c>
      <c r="E189" s="58">
        <v>2078103</v>
      </c>
      <c r="F189" s="58">
        <v>58</v>
      </c>
      <c r="G189" s="58">
        <v>70565</v>
      </c>
      <c r="H189" s="69">
        <v>44758</v>
      </c>
      <c r="I189" s="58">
        <v>0.37</v>
      </c>
      <c r="J189" s="58">
        <v>410148.9</v>
      </c>
    </row>
    <row r="190" spans="1:10" ht="15">
      <c r="A190" s="58" t="s">
        <v>745</v>
      </c>
      <c r="B190" s="58" t="s">
        <v>790</v>
      </c>
      <c r="C190" s="58" t="s">
        <v>799</v>
      </c>
      <c r="D190" s="58" t="s">
        <v>813</v>
      </c>
      <c r="E190" s="58">
        <v>1226931</v>
      </c>
      <c r="F190" s="58">
        <v>79</v>
      </c>
      <c r="G190" s="58">
        <v>429409</v>
      </c>
      <c r="H190" s="69">
        <v>44618</v>
      </c>
      <c r="I190" s="58">
        <v>0.08</v>
      </c>
      <c r="J190" s="58">
        <v>746840.88</v>
      </c>
    </row>
    <row r="191" spans="1:10" ht="15">
      <c r="A191" s="58" t="s">
        <v>749</v>
      </c>
      <c r="B191" s="58" t="s">
        <v>797</v>
      </c>
      <c r="C191" s="58" t="s">
        <v>799</v>
      </c>
      <c r="D191" s="58" t="s">
        <v>805</v>
      </c>
      <c r="E191" s="58">
        <v>2836174</v>
      </c>
      <c r="F191" s="58">
        <v>5</v>
      </c>
      <c r="G191" s="58">
        <v>311322</v>
      </c>
      <c r="H191" s="69">
        <v>44757</v>
      </c>
      <c r="I191" s="58">
        <v>0.24</v>
      </c>
      <c r="J191" s="58">
        <v>1651827.24</v>
      </c>
    </row>
    <row r="192" spans="1:10" ht="15">
      <c r="A192" s="58" t="s">
        <v>741</v>
      </c>
      <c r="B192" s="58" t="s">
        <v>808</v>
      </c>
      <c r="C192" s="58" t="s">
        <v>798</v>
      </c>
      <c r="D192" s="58" t="s">
        <v>801</v>
      </c>
      <c r="E192" s="58">
        <v>2237503</v>
      </c>
      <c r="F192" s="58">
        <v>84</v>
      </c>
      <c r="G192" s="58">
        <v>484213</v>
      </c>
      <c r="H192" s="69">
        <v>45301</v>
      </c>
      <c r="I192" s="58">
        <v>0.09</v>
      </c>
      <c r="J192" s="58">
        <v>1147827.8700000001</v>
      </c>
    </row>
    <row r="193" spans="1:10" ht="15">
      <c r="A193" s="58" t="s">
        <v>747</v>
      </c>
      <c r="B193" s="58" t="s">
        <v>802</v>
      </c>
      <c r="C193" s="58" t="s">
        <v>809</v>
      </c>
      <c r="D193" s="58" t="s">
        <v>811</v>
      </c>
      <c r="E193" s="58">
        <v>12736</v>
      </c>
      <c r="F193" s="58">
        <v>4</v>
      </c>
      <c r="G193" s="58">
        <v>442735</v>
      </c>
      <c r="H193" s="69">
        <v>45641</v>
      </c>
      <c r="I193" s="58">
        <v>0.15</v>
      </c>
      <c r="J193" s="58">
        <v>1969344.8</v>
      </c>
    </row>
    <row r="194" spans="1:10" ht="15">
      <c r="A194" s="58" t="s">
        <v>745</v>
      </c>
      <c r="B194" s="58" t="s">
        <v>797</v>
      </c>
      <c r="C194" s="58" t="s">
        <v>798</v>
      </c>
      <c r="D194" s="58" t="s">
        <v>796</v>
      </c>
      <c r="E194" s="58">
        <v>701161</v>
      </c>
      <c r="F194" s="58">
        <v>5</v>
      </c>
      <c r="G194" s="58">
        <v>106523</v>
      </c>
      <c r="H194" s="69">
        <v>45397</v>
      </c>
      <c r="I194" s="58">
        <v>0.22</v>
      </c>
      <c r="J194" s="58">
        <v>3976804.06</v>
      </c>
    </row>
    <row r="195" spans="1:10" ht="15">
      <c r="A195" s="58" t="s">
        <v>740</v>
      </c>
      <c r="B195" s="58" t="s">
        <v>792</v>
      </c>
      <c r="C195" s="58" t="s">
        <v>799</v>
      </c>
      <c r="D195" s="58" t="s">
        <v>789</v>
      </c>
      <c r="E195" s="58">
        <v>576544</v>
      </c>
      <c r="F195" s="58">
        <v>31</v>
      </c>
      <c r="G195" s="58">
        <v>69871</v>
      </c>
      <c r="H195" s="69">
        <v>45219</v>
      </c>
      <c r="I195" s="58">
        <v>0.44</v>
      </c>
      <c r="J195" s="58">
        <v>2996399.51</v>
      </c>
    </row>
    <row r="196" spans="1:10" ht="15">
      <c r="A196" s="58" t="s">
        <v>746</v>
      </c>
      <c r="B196" s="58" t="s">
        <v>814</v>
      </c>
      <c r="C196" s="58" t="s">
        <v>793</v>
      </c>
      <c r="D196" s="58" t="s">
        <v>812</v>
      </c>
      <c r="E196" s="58">
        <v>1150800</v>
      </c>
      <c r="F196" s="58">
        <v>1</v>
      </c>
      <c r="G196" s="58">
        <v>76717</v>
      </c>
      <c r="H196" s="69">
        <v>44987</v>
      </c>
      <c r="I196" s="58">
        <v>0.18</v>
      </c>
      <c r="J196" s="58">
        <v>3244381.4</v>
      </c>
    </row>
    <row r="197" spans="1:10" ht="15">
      <c r="A197" s="58" t="s">
        <v>747</v>
      </c>
      <c r="B197" s="58" t="s">
        <v>790</v>
      </c>
      <c r="C197" s="58" t="s">
        <v>798</v>
      </c>
      <c r="D197" s="58" t="s">
        <v>800</v>
      </c>
      <c r="E197" s="58">
        <v>4125233</v>
      </c>
      <c r="F197" s="58">
        <v>61</v>
      </c>
      <c r="G197" s="58">
        <v>310145</v>
      </c>
      <c r="H197" s="69">
        <v>45179</v>
      </c>
      <c r="I197" s="58">
        <v>0.35</v>
      </c>
      <c r="J197" s="58">
        <v>2038144.68</v>
      </c>
    </row>
    <row r="198" spans="1:10" ht="15">
      <c r="A198" s="58" t="s">
        <v>740</v>
      </c>
      <c r="B198" s="58" t="s">
        <v>809</v>
      </c>
      <c r="C198" s="58" t="s">
        <v>807</v>
      </c>
      <c r="D198" s="58" t="s">
        <v>789</v>
      </c>
      <c r="E198" s="58">
        <v>932568</v>
      </c>
      <c r="F198" s="58">
        <v>66</v>
      </c>
      <c r="G198" s="58">
        <v>270566</v>
      </c>
      <c r="H198" s="69">
        <v>44945</v>
      </c>
      <c r="I198" s="58">
        <v>0.36</v>
      </c>
      <c r="J198" s="58">
        <v>1778794.65</v>
      </c>
    </row>
    <row r="199" spans="1:10" ht="15">
      <c r="A199" s="58" t="s">
        <v>740</v>
      </c>
      <c r="B199" s="58" t="s">
        <v>809</v>
      </c>
      <c r="C199" s="58" t="s">
        <v>807</v>
      </c>
      <c r="D199" s="58" t="s">
        <v>812</v>
      </c>
      <c r="E199" s="58">
        <v>4050449</v>
      </c>
      <c r="F199" s="58">
        <v>79</v>
      </c>
      <c r="G199" s="58">
        <v>49944</v>
      </c>
      <c r="H199" s="69">
        <v>45424</v>
      </c>
      <c r="I199" s="58">
        <v>0.39</v>
      </c>
      <c r="J199" s="58">
        <v>1135983.78</v>
      </c>
    </row>
    <row r="200" spans="1:10" ht="15">
      <c r="A200" s="58" t="s">
        <v>740</v>
      </c>
      <c r="B200" s="58" t="s">
        <v>814</v>
      </c>
      <c r="C200" s="58" t="s">
        <v>798</v>
      </c>
      <c r="D200" s="58" t="s">
        <v>815</v>
      </c>
      <c r="E200" s="58">
        <v>1724869</v>
      </c>
      <c r="F200" s="58">
        <v>83</v>
      </c>
      <c r="G200" s="58">
        <v>247737</v>
      </c>
      <c r="H200" s="69">
        <v>45512</v>
      </c>
      <c r="I200" s="58">
        <v>0.4</v>
      </c>
      <c r="J200" s="58">
        <v>1270186.3799999999</v>
      </c>
    </row>
    <row r="201" spans="1:10" ht="15">
      <c r="A201" s="58" t="s">
        <v>740</v>
      </c>
      <c r="B201" s="58" t="s">
        <v>792</v>
      </c>
      <c r="C201" s="58" t="s">
        <v>788</v>
      </c>
      <c r="D201" s="58" t="s">
        <v>803</v>
      </c>
      <c r="E201" s="58">
        <v>756838</v>
      </c>
      <c r="F201" s="58">
        <v>8</v>
      </c>
      <c r="G201" s="58">
        <v>77628</v>
      </c>
      <c r="H201" s="69">
        <v>44879</v>
      </c>
      <c r="I201" s="58">
        <v>0.33</v>
      </c>
      <c r="J201" s="58">
        <v>2025637.04</v>
      </c>
    </row>
    <row r="202" spans="1:10" ht="15">
      <c r="A202" s="58" t="s">
        <v>749</v>
      </c>
      <c r="B202" s="58" t="s">
        <v>809</v>
      </c>
      <c r="C202" s="58" t="s">
        <v>798</v>
      </c>
      <c r="D202" s="58" t="s">
        <v>791</v>
      </c>
      <c r="E202" s="58">
        <v>3388381</v>
      </c>
      <c r="F202" s="58">
        <v>19</v>
      </c>
      <c r="G202" s="58">
        <v>403260</v>
      </c>
      <c r="H202" s="69">
        <v>44579</v>
      </c>
      <c r="I202" s="58">
        <v>0.25</v>
      </c>
      <c r="J202" s="58">
        <v>1917910.35</v>
      </c>
    </row>
    <row r="203" spans="1:10" ht="15">
      <c r="A203" s="58" t="s">
        <v>742</v>
      </c>
      <c r="B203" s="58" t="s">
        <v>814</v>
      </c>
      <c r="C203" s="58" t="s">
        <v>809</v>
      </c>
      <c r="D203" s="58" t="s">
        <v>789</v>
      </c>
      <c r="E203" s="58">
        <v>2733274</v>
      </c>
      <c r="F203" s="58">
        <v>55</v>
      </c>
      <c r="G203" s="58">
        <v>239899</v>
      </c>
      <c r="H203" s="69">
        <v>45512</v>
      </c>
      <c r="I203" s="58">
        <v>0.23</v>
      </c>
      <c r="J203" s="58">
        <v>459431.78</v>
      </c>
    </row>
    <row r="204" spans="1:10" ht="15">
      <c r="A204" s="58" t="s">
        <v>740</v>
      </c>
      <c r="B204" s="58" t="s">
        <v>790</v>
      </c>
      <c r="C204" s="58" t="s">
        <v>807</v>
      </c>
      <c r="D204" s="58" t="s">
        <v>803</v>
      </c>
      <c r="E204" s="58">
        <v>3840798</v>
      </c>
      <c r="F204" s="58">
        <v>31</v>
      </c>
      <c r="G204" s="58">
        <v>137690</v>
      </c>
      <c r="H204" s="69">
        <v>45456</v>
      </c>
      <c r="I204" s="58">
        <v>7.0000000000000007E-2</v>
      </c>
      <c r="J204" s="58">
        <v>2175747.21</v>
      </c>
    </row>
    <row r="205" spans="1:10" ht="15">
      <c r="A205" s="58" t="s">
        <v>742</v>
      </c>
      <c r="B205" s="58" t="s">
        <v>802</v>
      </c>
      <c r="C205" s="58" t="s">
        <v>809</v>
      </c>
      <c r="D205" s="58" t="s">
        <v>813</v>
      </c>
      <c r="E205" s="58">
        <v>3748304</v>
      </c>
      <c r="F205" s="58">
        <v>77</v>
      </c>
      <c r="G205" s="58">
        <v>279590</v>
      </c>
      <c r="H205" s="69">
        <v>45368</v>
      </c>
      <c r="I205" s="58">
        <v>0.49</v>
      </c>
      <c r="J205" s="58">
        <v>2698245.48</v>
      </c>
    </row>
    <row r="206" spans="1:10" ht="15">
      <c r="A206" s="58" t="s">
        <v>747</v>
      </c>
      <c r="B206" s="58" t="s">
        <v>804</v>
      </c>
      <c r="C206" s="58" t="s">
        <v>799</v>
      </c>
      <c r="D206" s="58" t="s">
        <v>812</v>
      </c>
      <c r="E206" s="58">
        <v>3075057</v>
      </c>
      <c r="F206" s="58">
        <v>20</v>
      </c>
      <c r="G206" s="58">
        <v>304857</v>
      </c>
      <c r="H206" s="69">
        <v>45115</v>
      </c>
      <c r="I206" s="58">
        <v>0.01</v>
      </c>
      <c r="J206" s="58">
        <v>2892655.41</v>
      </c>
    </row>
    <row r="207" spans="1:10" ht="15">
      <c r="A207" s="58" t="s">
        <v>745</v>
      </c>
      <c r="B207" s="58" t="s">
        <v>792</v>
      </c>
      <c r="C207" s="58" t="s">
        <v>798</v>
      </c>
      <c r="D207" s="58" t="s">
        <v>806</v>
      </c>
      <c r="E207" s="58">
        <v>3204053</v>
      </c>
      <c r="F207" s="58">
        <v>34</v>
      </c>
      <c r="G207" s="58">
        <v>148330</v>
      </c>
      <c r="H207" s="69">
        <v>45332</v>
      </c>
      <c r="I207" s="58">
        <v>0.08</v>
      </c>
      <c r="J207" s="58">
        <v>1205523</v>
      </c>
    </row>
    <row r="208" spans="1:10" ht="15">
      <c r="A208" s="58" t="s">
        <v>748</v>
      </c>
      <c r="B208" s="58" t="s">
        <v>804</v>
      </c>
      <c r="C208" s="58" t="s">
        <v>798</v>
      </c>
      <c r="D208" s="58" t="s">
        <v>812</v>
      </c>
      <c r="E208" s="58">
        <v>4308464</v>
      </c>
      <c r="F208" s="58">
        <v>53</v>
      </c>
      <c r="G208" s="58">
        <v>473148</v>
      </c>
      <c r="H208" s="69">
        <v>45248</v>
      </c>
      <c r="I208" s="58">
        <v>0.1</v>
      </c>
      <c r="J208" s="58">
        <v>2279273.6</v>
      </c>
    </row>
    <row r="209" spans="1:10" ht="15">
      <c r="A209" s="58" t="s">
        <v>744</v>
      </c>
      <c r="B209" s="58" t="s">
        <v>804</v>
      </c>
      <c r="C209" s="58" t="s">
        <v>799</v>
      </c>
      <c r="D209" s="58" t="s">
        <v>796</v>
      </c>
      <c r="E209" s="58">
        <v>4468406</v>
      </c>
      <c r="F209" s="58">
        <v>36</v>
      </c>
      <c r="G209" s="58">
        <v>449510</v>
      </c>
      <c r="H209" s="69">
        <v>44958</v>
      </c>
      <c r="I209" s="58">
        <v>0.37</v>
      </c>
      <c r="J209" s="58">
        <v>231727.5</v>
      </c>
    </row>
    <row r="210" spans="1:10" ht="15">
      <c r="A210" s="58" t="s">
        <v>740</v>
      </c>
      <c r="B210" s="58" t="s">
        <v>787</v>
      </c>
      <c r="C210" s="58" t="s">
        <v>799</v>
      </c>
      <c r="D210" s="58" t="s">
        <v>815</v>
      </c>
      <c r="E210" s="58">
        <v>2540976</v>
      </c>
      <c r="F210" s="58">
        <v>49</v>
      </c>
      <c r="G210" s="58">
        <v>313596</v>
      </c>
      <c r="H210" s="69">
        <v>45326</v>
      </c>
      <c r="I210" s="58">
        <v>0.25</v>
      </c>
      <c r="J210" s="58">
        <v>119252.56</v>
      </c>
    </row>
    <row r="211" spans="1:10" ht="15">
      <c r="A211" s="58" t="s">
        <v>747</v>
      </c>
      <c r="B211" s="58" t="s">
        <v>808</v>
      </c>
      <c r="C211" s="58" t="s">
        <v>788</v>
      </c>
      <c r="D211" s="58" t="s">
        <v>789</v>
      </c>
      <c r="E211" s="58">
        <v>2888943</v>
      </c>
      <c r="F211" s="58">
        <v>25</v>
      </c>
      <c r="G211" s="58">
        <v>392332</v>
      </c>
      <c r="H211" s="69">
        <v>45370</v>
      </c>
      <c r="I211" s="58">
        <v>7.0000000000000007E-2</v>
      </c>
      <c r="J211" s="58">
        <v>1022997.36</v>
      </c>
    </row>
    <row r="212" spans="1:10" ht="15">
      <c r="A212" s="58" t="s">
        <v>743</v>
      </c>
      <c r="B212" s="58" t="s">
        <v>792</v>
      </c>
      <c r="C212" s="58" t="s">
        <v>795</v>
      </c>
      <c r="D212" s="58" t="s">
        <v>813</v>
      </c>
      <c r="E212" s="58">
        <v>4354561</v>
      </c>
      <c r="F212" s="58">
        <v>87</v>
      </c>
      <c r="G212" s="58">
        <v>103614</v>
      </c>
      <c r="H212" s="69">
        <v>45025</v>
      </c>
      <c r="I212" s="58">
        <v>0.08</v>
      </c>
      <c r="J212" s="58">
        <v>2461262.2799999998</v>
      </c>
    </row>
    <row r="213" spans="1:10" ht="15">
      <c r="A213" s="58" t="s">
        <v>747</v>
      </c>
      <c r="B213" s="58" t="s">
        <v>808</v>
      </c>
      <c r="C213" s="58" t="s">
        <v>799</v>
      </c>
      <c r="D213" s="58" t="s">
        <v>813</v>
      </c>
      <c r="E213" s="58">
        <v>4667247</v>
      </c>
      <c r="F213" s="58">
        <v>75</v>
      </c>
      <c r="G213" s="58">
        <v>259304</v>
      </c>
      <c r="H213" s="69">
        <v>45376</v>
      </c>
      <c r="I213" s="58">
        <v>0.16</v>
      </c>
      <c r="J213" s="58">
        <v>538574.67000000004</v>
      </c>
    </row>
    <row r="214" spans="1:10" ht="15">
      <c r="A214" s="58" t="s">
        <v>747</v>
      </c>
      <c r="B214" s="58" t="s">
        <v>814</v>
      </c>
      <c r="C214" s="58" t="s">
        <v>807</v>
      </c>
      <c r="D214" s="58" t="s">
        <v>811</v>
      </c>
      <c r="E214" s="58">
        <v>3348471</v>
      </c>
      <c r="F214" s="58">
        <v>32</v>
      </c>
      <c r="G214" s="58">
        <v>379528</v>
      </c>
      <c r="H214" s="69">
        <v>45308</v>
      </c>
      <c r="I214" s="58">
        <v>0.35</v>
      </c>
      <c r="J214" s="58">
        <v>3423226.56</v>
      </c>
    </row>
    <row r="215" spans="1:10" ht="15">
      <c r="A215" s="58" t="s">
        <v>747</v>
      </c>
      <c r="B215" s="58" t="s">
        <v>797</v>
      </c>
      <c r="C215" s="58" t="s">
        <v>788</v>
      </c>
      <c r="D215" s="58" t="s">
        <v>796</v>
      </c>
      <c r="E215" s="58">
        <v>2258996</v>
      </c>
      <c r="F215" s="58">
        <v>57</v>
      </c>
      <c r="G215" s="58">
        <v>226752</v>
      </c>
      <c r="H215" s="69">
        <v>45064</v>
      </c>
      <c r="I215" s="58">
        <v>0.04</v>
      </c>
      <c r="J215" s="58">
        <v>2019543.96</v>
      </c>
    </row>
    <row r="216" spans="1:10" ht="15">
      <c r="A216" s="58" t="s">
        <v>747</v>
      </c>
      <c r="B216" s="58" t="s">
        <v>804</v>
      </c>
      <c r="C216" s="58" t="s">
        <v>809</v>
      </c>
      <c r="D216" s="58" t="s">
        <v>803</v>
      </c>
      <c r="E216" s="58">
        <v>372076</v>
      </c>
      <c r="F216" s="58">
        <v>62</v>
      </c>
      <c r="G216" s="58">
        <v>144802</v>
      </c>
      <c r="H216" s="69">
        <v>44734</v>
      </c>
      <c r="I216" s="58">
        <v>0.45</v>
      </c>
      <c r="J216" s="58">
        <v>1077013.21</v>
      </c>
    </row>
    <row r="217" spans="1:10" ht="15">
      <c r="A217" s="58" t="s">
        <v>741</v>
      </c>
      <c r="B217" s="58" t="s">
        <v>790</v>
      </c>
      <c r="C217" s="58" t="s">
        <v>799</v>
      </c>
      <c r="D217" s="58" t="s">
        <v>806</v>
      </c>
      <c r="E217" s="58">
        <v>4963232</v>
      </c>
      <c r="F217" s="58">
        <v>46</v>
      </c>
      <c r="G217" s="58">
        <v>162387</v>
      </c>
      <c r="H217" s="69">
        <v>44658</v>
      </c>
      <c r="I217" s="58">
        <v>0.36</v>
      </c>
      <c r="J217" s="58">
        <v>1147511.94</v>
      </c>
    </row>
    <row r="218" spans="1:10" ht="15">
      <c r="A218" s="58" t="s">
        <v>749</v>
      </c>
      <c r="B218" s="58" t="s">
        <v>790</v>
      </c>
      <c r="C218" s="58" t="s">
        <v>799</v>
      </c>
      <c r="D218" s="58" t="s">
        <v>812</v>
      </c>
      <c r="E218" s="58">
        <v>2739040</v>
      </c>
      <c r="F218" s="58">
        <v>9</v>
      </c>
      <c r="G218" s="58">
        <v>262216</v>
      </c>
      <c r="H218" s="69">
        <v>44994</v>
      </c>
      <c r="I218" s="58">
        <v>0.21</v>
      </c>
      <c r="J218" s="58">
        <v>2547510</v>
      </c>
    </row>
    <row r="219" spans="1:10" ht="15">
      <c r="A219" s="58" t="s">
        <v>748</v>
      </c>
      <c r="B219" s="58" t="s">
        <v>809</v>
      </c>
      <c r="C219" s="58" t="s">
        <v>799</v>
      </c>
      <c r="D219" s="58" t="s">
        <v>806</v>
      </c>
      <c r="E219" s="58">
        <v>2782289</v>
      </c>
      <c r="F219" s="58">
        <v>74</v>
      </c>
      <c r="G219" s="58">
        <v>314450</v>
      </c>
      <c r="H219" s="69">
        <v>45483</v>
      </c>
      <c r="I219" s="58">
        <v>0.21</v>
      </c>
      <c r="J219" s="58">
        <v>2872604.68</v>
      </c>
    </row>
    <row r="220" spans="1:10" ht="15">
      <c r="A220" s="58" t="s">
        <v>740</v>
      </c>
      <c r="B220" s="58" t="s">
        <v>790</v>
      </c>
      <c r="C220" s="58" t="s">
        <v>798</v>
      </c>
      <c r="D220" s="58" t="s">
        <v>791</v>
      </c>
      <c r="E220" s="58">
        <v>1880985</v>
      </c>
      <c r="F220" s="58">
        <v>45</v>
      </c>
      <c r="G220" s="58">
        <v>374709</v>
      </c>
      <c r="H220" s="69">
        <v>45391</v>
      </c>
      <c r="I220" s="58">
        <v>0.03</v>
      </c>
      <c r="J220" s="58">
        <v>1250858.24</v>
      </c>
    </row>
    <row r="221" spans="1:10" ht="15">
      <c r="A221" s="58" t="s">
        <v>747</v>
      </c>
      <c r="B221" s="58" t="s">
        <v>809</v>
      </c>
      <c r="C221" s="58" t="s">
        <v>799</v>
      </c>
      <c r="D221" s="58" t="s">
        <v>796</v>
      </c>
      <c r="E221" s="58">
        <v>4206889</v>
      </c>
      <c r="F221" s="58">
        <v>23</v>
      </c>
      <c r="G221" s="58">
        <v>457614</v>
      </c>
      <c r="H221" s="69">
        <v>44768</v>
      </c>
      <c r="I221" s="58">
        <v>0.05</v>
      </c>
      <c r="J221" s="58">
        <v>3492894.79</v>
      </c>
    </row>
    <row r="222" spans="1:10" ht="15">
      <c r="A222" s="58" t="s">
        <v>749</v>
      </c>
      <c r="B222" s="58" t="s">
        <v>797</v>
      </c>
      <c r="C222" s="58" t="s">
        <v>798</v>
      </c>
      <c r="D222" s="58" t="s">
        <v>813</v>
      </c>
      <c r="E222" s="58">
        <v>543779</v>
      </c>
      <c r="F222" s="58">
        <v>58</v>
      </c>
      <c r="G222" s="58">
        <v>259550</v>
      </c>
      <c r="H222" s="69">
        <v>45196</v>
      </c>
      <c r="I222" s="58">
        <v>0.25</v>
      </c>
      <c r="J222" s="58">
        <v>591215.31000000006</v>
      </c>
    </row>
    <row r="223" spans="1:10" ht="15">
      <c r="A223" s="58" t="s">
        <v>742</v>
      </c>
      <c r="B223" s="58" t="s">
        <v>804</v>
      </c>
      <c r="C223" s="58" t="s">
        <v>798</v>
      </c>
      <c r="D223" s="58" t="s">
        <v>796</v>
      </c>
      <c r="E223" s="58">
        <v>580350</v>
      </c>
      <c r="F223" s="58">
        <v>100</v>
      </c>
      <c r="G223" s="58">
        <v>354932</v>
      </c>
      <c r="H223" s="69">
        <v>44915</v>
      </c>
      <c r="I223" s="58">
        <v>0.32</v>
      </c>
      <c r="J223" s="58">
        <v>2056800.35</v>
      </c>
    </row>
    <row r="224" spans="1:10" ht="15">
      <c r="A224" s="58" t="s">
        <v>749</v>
      </c>
      <c r="B224" s="58" t="s">
        <v>814</v>
      </c>
      <c r="C224" s="58" t="s">
        <v>809</v>
      </c>
      <c r="D224" s="58" t="s">
        <v>791</v>
      </c>
      <c r="E224" s="58">
        <v>172486</v>
      </c>
      <c r="F224" s="58">
        <v>14</v>
      </c>
      <c r="G224" s="58">
        <v>15449</v>
      </c>
      <c r="H224" s="69">
        <v>45147</v>
      </c>
      <c r="I224" s="58">
        <v>0.13</v>
      </c>
      <c r="J224" s="58">
        <v>3966066.95</v>
      </c>
    </row>
    <row r="225" spans="1:10" ht="15">
      <c r="A225" s="58" t="s">
        <v>748</v>
      </c>
      <c r="B225" s="58" t="s">
        <v>802</v>
      </c>
      <c r="C225" s="58" t="s">
        <v>809</v>
      </c>
      <c r="D225" s="58" t="s">
        <v>796</v>
      </c>
      <c r="E225" s="58">
        <v>2401191</v>
      </c>
      <c r="F225" s="58">
        <v>81</v>
      </c>
      <c r="G225" s="58">
        <v>34648</v>
      </c>
      <c r="H225" s="69">
        <v>45525</v>
      </c>
      <c r="I225" s="58">
        <v>0.28000000000000003</v>
      </c>
      <c r="J225" s="58">
        <v>764790.6</v>
      </c>
    </row>
    <row r="226" spans="1:10" ht="15">
      <c r="A226" s="58" t="s">
        <v>740</v>
      </c>
      <c r="B226" s="58" t="s">
        <v>808</v>
      </c>
      <c r="C226" s="58" t="s">
        <v>799</v>
      </c>
      <c r="D226" s="58" t="s">
        <v>789</v>
      </c>
      <c r="E226" s="58">
        <v>4370392</v>
      </c>
      <c r="F226" s="58">
        <v>92</v>
      </c>
      <c r="G226" s="58">
        <v>183985</v>
      </c>
      <c r="H226" s="69">
        <v>45549</v>
      </c>
      <c r="I226" s="58">
        <v>0.18</v>
      </c>
      <c r="J226" s="58">
        <v>2541473.5499999998</v>
      </c>
    </row>
    <row r="227" spans="1:10" ht="15">
      <c r="A227" s="58" t="s">
        <v>744</v>
      </c>
      <c r="B227" s="58" t="s">
        <v>808</v>
      </c>
      <c r="C227" s="58" t="s">
        <v>809</v>
      </c>
      <c r="D227" s="58" t="s">
        <v>791</v>
      </c>
      <c r="E227" s="58">
        <v>1987570</v>
      </c>
      <c r="F227" s="58">
        <v>16</v>
      </c>
      <c r="G227" s="58">
        <v>291023</v>
      </c>
      <c r="H227" s="69">
        <v>44781</v>
      </c>
      <c r="I227" s="58">
        <v>0.46</v>
      </c>
      <c r="J227" s="58">
        <v>2114277</v>
      </c>
    </row>
    <row r="228" spans="1:10" ht="15">
      <c r="A228" s="58" t="s">
        <v>745</v>
      </c>
      <c r="B228" s="58" t="s">
        <v>792</v>
      </c>
      <c r="C228" s="58" t="s">
        <v>793</v>
      </c>
      <c r="D228" s="58" t="s">
        <v>811</v>
      </c>
      <c r="E228" s="58">
        <v>4728603</v>
      </c>
      <c r="F228" s="58">
        <v>30</v>
      </c>
      <c r="G228" s="58">
        <v>426733</v>
      </c>
      <c r="H228" s="69">
        <v>44953</v>
      </c>
      <c r="I228" s="58">
        <v>0.11</v>
      </c>
      <c r="J228" s="58">
        <v>3135557.52</v>
      </c>
    </row>
    <row r="229" spans="1:10" ht="15">
      <c r="A229" s="58" t="s">
        <v>748</v>
      </c>
      <c r="B229" s="58" t="s">
        <v>809</v>
      </c>
      <c r="C229" s="58" t="s">
        <v>799</v>
      </c>
      <c r="D229" s="58" t="s">
        <v>811</v>
      </c>
      <c r="E229" s="58">
        <v>3480955</v>
      </c>
      <c r="F229" s="58">
        <v>53</v>
      </c>
      <c r="G229" s="58">
        <v>4480</v>
      </c>
      <c r="H229" s="69">
        <v>45088</v>
      </c>
      <c r="I229" s="58">
        <v>0.05</v>
      </c>
      <c r="J229" s="58">
        <v>1455825.59</v>
      </c>
    </row>
    <row r="230" spans="1:10" ht="15">
      <c r="A230" s="58" t="s">
        <v>749</v>
      </c>
      <c r="B230" s="58" t="s">
        <v>802</v>
      </c>
      <c r="C230" s="58" t="s">
        <v>809</v>
      </c>
      <c r="D230" s="58" t="s">
        <v>789</v>
      </c>
      <c r="E230" s="58">
        <v>3651734</v>
      </c>
      <c r="F230" s="58">
        <v>100</v>
      </c>
      <c r="G230" s="58">
        <v>78820</v>
      </c>
      <c r="H230" s="69">
        <v>45614</v>
      </c>
      <c r="I230" s="58">
        <v>0.39</v>
      </c>
      <c r="J230" s="58">
        <v>376282.65</v>
      </c>
    </row>
    <row r="231" spans="1:10" ht="15">
      <c r="A231" s="58" t="s">
        <v>741</v>
      </c>
      <c r="B231" s="58" t="s">
        <v>808</v>
      </c>
      <c r="C231" s="58" t="s">
        <v>807</v>
      </c>
      <c r="D231" s="58" t="s">
        <v>815</v>
      </c>
      <c r="E231" s="58">
        <v>1649124</v>
      </c>
      <c r="F231" s="58">
        <v>71</v>
      </c>
      <c r="G231" s="58">
        <v>135593</v>
      </c>
      <c r="H231" s="69">
        <v>45142</v>
      </c>
      <c r="I231" s="58">
        <v>0.47</v>
      </c>
      <c r="J231" s="58">
        <v>2791579.05</v>
      </c>
    </row>
    <row r="232" spans="1:10" ht="15">
      <c r="A232" s="58" t="s">
        <v>746</v>
      </c>
      <c r="B232" s="58" t="s">
        <v>809</v>
      </c>
      <c r="C232" s="58" t="s">
        <v>798</v>
      </c>
      <c r="D232" s="58" t="s">
        <v>805</v>
      </c>
      <c r="E232" s="58">
        <v>554685</v>
      </c>
      <c r="F232" s="58">
        <v>42</v>
      </c>
      <c r="G232" s="58">
        <v>146035</v>
      </c>
      <c r="H232" s="69">
        <v>45256</v>
      </c>
      <c r="I232" s="58">
        <v>0.11</v>
      </c>
      <c r="J232" s="58">
        <v>1705995.9</v>
      </c>
    </row>
    <row r="233" spans="1:10" ht="15">
      <c r="A233" s="58" t="s">
        <v>746</v>
      </c>
      <c r="B233" s="58" t="s">
        <v>787</v>
      </c>
      <c r="C233" s="58" t="s">
        <v>807</v>
      </c>
      <c r="D233" s="58" t="s">
        <v>815</v>
      </c>
      <c r="E233" s="58">
        <v>2701624</v>
      </c>
      <c r="F233" s="58">
        <v>50</v>
      </c>
      <c r="G233" s="58">
        <v>204157</v>
      </c>
      <c r="H233" s="69">
        <v>45188</v>
      </c>
      <c r="I233" s="58">
        <v>0.26</v>
      </c>
      <c r="J233" s="58">
        <v>1007207.76</v>
      </c>
    </row>
    <row r="234" spans="1:10" ht="15">
      <c r="A234" s="58" t="s">
        <v>747</v>
      </c>
      <c r="B234" s="58" t="s">
        <v>790</v>
      </c>
      <c r="C234" s="58" t="s">
        <v>809</v>
      </c>
      <c r="D234" s="58" t="s">
        <v>803</v>
      </c>
      <c r="E234" s="58">
        <v>4098837</v>
      </c>
      <c r="F234" s="58">
        <v>71</v>
      </c>
      <c r="G234" s="58">
        <v>48966</v>
      </c>
      <c r="H234" s="69">
        <v>45353</v>
      </c>
      <c r="I234" s="58">
        <v>0.43</v>
      </c>
      <c r="J234" s="58">
        <v>2689965.46</v>
      </c>
    </row>
    <row r="235" spans="1:10" ht="15">
      <c r="A235" s="58" t="s">
        <v>740</v>
      </c>
      <c r="B235" s="58" t="s">
        <v>787</v>
      </c>
      <c r="C235" s="58" t="s">
        <v>793</v>
      </c>
      <c r="D235" s="58" t="s">
        <v>812</v>
      </c>
      <c r="E235" s="58">
        <v>101128</v>
      </c>
      <c r="F235" s="58">
        <v>20</v>
      </c>
      <c r="G235" s="58">
        <v>451547</v>
      </c>
      <c r="H235" s="69">
        <v>44961</v>
      </c>
      <c r="I235" s="58">
        <v>0.37</v>
      </c>
      <c r="J235" s="58">
        <v>808972.78</v>
      </c>
    </row>
    <row r="236" spans="1:10" ht="15">
      <c r="A236" s="58" t="s">
        <v>745</v>
      </c>
      <c r="B236" s="58" t="s">
        <v>794</v>
      </c>
      <c r="C236" s="58" t="s">
        <v>793</v>
      </c>
      <c r="D236" s="58" t="s">
        <v>800</v>
      </c>
      <c r="E236" s="58">
        <v>3492735</v>
      </c>
      <c r="F236" s="58">
        <v>10</v>
      </c>
      <c r="G236" s="58">
        <v>210134</v>
      </c>
      <c r="H236" s="69">
        <v>44632</v>
      </c>
      <c r="I236" s="58">
        <v>0.23</v>
      </c>
      <c r="J236" s="58">
        <v>1331661.1299999999</v>
      </c>
    </row>
    <row r="237" spans="1:10" ht="15">
      <c r="A237" s="58" t="s">
        <v>743</v>
      </c>
      <c r="B237" s="58" t="s">
        <v>792</v>
      </c>
      <c r="C237" s="58" t="s">
        <v>798</v>
      </c>
      <c r="D237" s="58" t="s">
        <v>805</v>
      </c>
      <c r="E237" s="58">
        <v>2778159</v>
      </c>
      <c r="F237" s="58">
        <v>86</v>
      </c>
      <c r="G237" s="58">
        <v>445810</v>
      </c>
      <c r="H237" s="69">
        <v>44862</v>
      </c>
      <c r="I237" s="58">
        <v>0.19</v>
      </c>
      <c r="J237" s="58">
        <v>369509.76</v>
      </c>
    </row>
    <row r="238" spans="1:10" ht="15">
      <c r="A238" s="58" t="s">
        <v>749</v>
      </c>
      <c r="B238" s="58" t="s">
        <v>792</v>
      </c>
      <c r="C238" s="58" t="s">
        <v>809</v>
      </c>
      <c r="D238" s="58" t="s">
        <v>806</v>
      </c>
      <c r="E238" s="58">
        <v>3861854</v>
      </c>
      <c r="F238" s="58">
        <v>35</v>
      </c>
      <c r="G238" s="58">
        <v>297943</v>
      </c>
      <c r="H238" s="69">
        <v>44717</v>
      </c>
      <c r="I238" s="58">
        <v>0.43</v>
      </c>
      <c r="J238" s="58">
        <v>3271492.8</v>
      </c>
    </row>
    <row r="239" spans="1:10" ht="15">
      <c r="A239" s="58" t="s">
        <v>743</v>
      </c>
      <c r="B239" s="58" t="s">
        <v>802</v>
      </c>
      <c r="C239" s="58" t="s">
        <v>807</v>
      </c>
      <c r="D239" s="58" t="s">
        <v>796</v>
      </c>
      <c r="E239" s="58">
        <v>1521665</v>
      </c>
      <c r="F239" s="58">
        <v>39</v>
      </c>
      <c r="G239" s="58">
        <v>166513</v>
      </c>
      <c r="H239" s="69">
        <v>45021</v>
      </c>
      <c r="I239" s="58">
        <v>0.3</v>
      </c>
      <c r="J239" s="58">
        <v>3663117.02</v>
      </c>
    </row>
    <row r="240" spans="1:10" ht="15">
      <c r="A240" s="58" t="s">
        <v>741</v>
      </c>
      <c r="B240" s="58" t="s">
        <v>787</v>
      </c>
      <c r="C240" s="58" t="s">
        <v>807</v>
      </c>
      <c r="D240" s="58" t="s">
        <v>803</v>
      </c>
      <c r="E240" s="58">
        <v>2940690</v>
      </c>
      <c r="F240" s="58">
        <v>2</v>
      </c>
      <c r="G240" s="58">
        <v>454321</v>
      </c>
      <c r="H240" s="69">
        <v>45331</v>
      </c>
      <c r="I240" s="58">
        <v>0.32</v>
      </c>
      <c r="J240" s="58">
        <v>1569765.78</v>
      </c>
    </row>
    <row r="241" spans="1:10" ht="15">
      <c r="A241" s="58" t="s">
        <v>744</v>
      </c>
      <c r="B241" s="58" t="s">
        <v>802</v>
      </c>
      <c r="C241" s="58" t="s">
        <v>799</v>
      </c>
      <c r="D241" s="58" t="s">
        <v>796</v>
      </c>
      <c r="E241" s="58">
        <v>1487846</v>
      </c>
      <c r="F241" s="58">
        <v>83</v>
      </c>
      <c r="G241" s="58">
        <v>134281</v>
      </c>
      <c r="H241" s="69">
        <v>44986</v>
      </c>
      <c r="I241" s="58">
        <v>0.3</v>
      </c>
      <c r="J241" s="58">
        <v>213210.72</v>
      </c>
    </row>
    <row r="242" spans="1:10" ht="15">
      <c r="A242" s="58" t="s">
        <v>749</v>
      </c>
      <c r="B242" s="58" t="s">
        <v>787</v>
      </c>
      <c r="C242" s="58" t="s">
        <v>799</v>
      </c>
      <c r="D242" s="58" t="s">
        <v>812</v>
      </c>
      <c r="E242" s="58">
        <v>2851741</v>
      </c>
      <c r="F242" s="58">
        <v>30</v>
      </c>
      <c r="G242" s="58">
        <v>95123</v>
      </c>
      <c r="H242" s="69">
        <v>45021</v>
      </c>
      <c r="I242" s="58">
        <v>0.37</v>
      </c>
      <c r="J242" s="58">
        <v>1736967.84</v>
      </c>
    </row>
    <row r="243" spans="1:10" ht="15">
      <c r="A243" s="58" t="s">
        <v>747</v>
      </c>
      <c r="B243" s="58" t="s">
        <v>797</v>
      </c>
      <c r="C243" s="58" t="s">
        <v>798</v>
      </c>
      <c r="D243" s="58" t="s">
        <v>791</v>
      </c>
      <c r="E243" s="58">
        <v>4203791</v>
      </c>
      <c r="F243" s="58">
        <v>35</v>
      </c>
      <c r="G243" s="58">
        <v>457457</v>
      </c>
      <c r="H243" s="69">
        <v>44784</v>
      </c>
      <c r="I243" s="58">
        <v>0.34</v>
      </c>
      <c r="J243" s="58">
        <v>4839702.12</v>
      </c>
    </row>
    <row r="244" spans="1:10" ht="15">
      <c r="A244" s="58" t="s">
        <v>744</v>
      </c>
      <c r="B244" s="58" t="s">
        <v>792</v>
      </c>
      <c r="C244" s="58" t="s">
        <v>798</v>
      </c>
      <c r="D244" s="58" t="s">
        <v>791</v>
      </c>
      <c r="E244" s="58">
        <v>54986</v>
      </c>
      <c r="F244" s="58">
        <v>66</v>
      </c>
      <c r="G244" s="58">
        <v>284447</v>
      </c>
      <c r="H244" s="69">
        <v>45020</v>
      </c>
      <c r="I244" s="58">
        <v>0.35</v>
      </c>
      <c r="J244" s="58">
        <v>1075175.3999999999</v>
      </c>
    </row>
    <row r="245" spans="1:10" ht="15">
      <c r="A245" s="58" t="s">
        <v>743</v>
      </c>
      <c r="B245" s="58" t="s">
        <v>808</v>
      </c>
      <c r="C245" s="58" t="s">
        <v>799</v>
      </c>
      <c r="D245" s="58" t="s">
        <v>789</v>
      </c>
      <c r="E245" s="58">
        <v>77361</v>
      </c>
      <c r="F245" s="58">
        <v>86</v>
      </c>
      <c r="G245" s="58">
        <v>418054</v>
      </c>
      <c r="H245" s="69">
        <v>44737</v>
      </c>
      <c r="I245" s="58">
        <v>0.49</v>
      </c>
      <c r="J245" s="58">
        <v>2529245.88</v>
      </c>
    </row>
    <row r="246" spans="1:10" ht="15">
      <c r="A246" s="58" t="s">
        <v>744</v>
      </c>
      <c r="B246" s="58" t="s">
        <v>804</v>
      </c>
      <c r="C246" s="58" t="s">
        <v>788</v>
      </c>
      <c r="D246" s="58" t="s">
        <v>812</v>
      </c>
      <c r="E246" s="58">
        <v>2547269</v>
      </c>
      <c r="F246" s="58">
        <v>21</v>
      </c>
      <c r="G246" s="58">
        <v>402349</v>
      </c>
      <c r="H246" s="69">
        <v>45269</v>
      </c>
      <c r="I246" s="58">
        <v>0.28000000000000003</v>
      </c>
      <c r="J246" s="58">
        <v>406192.16</v>
      </c>
    </row>
    <row r="247" spans="1:10" ht="15">
      <c r="A247" s="58" t="s">
        <v>741</v>
      </c>
      <c r="B247" s="58" t="s">
        <v>814</v>
      </c>
      <c r="C247" s="58" t="s">
        <v>798</v>
      </c>
      <c r="D247" s="58" t="s">
        <v>796</v>
      </c>
      <c r="E247" s="58">
        <v>2980550</v>
      </c>
      <c r="F247" s="58">
        <v>9</v>
      </c>
      <c r="G247" s="58">
        <v>160061</v>
      </c>
      <c r="H247" s="69">
        <v>45619</v>
      </c>
      <c r="I247" s="58">
        <v>0.47</v>
      </c>
      <c r="J247" s="58">
        <v>95482.17</v>
      </c>
    </row>
    <row r="248" spans="1:10" ht="15">
      <c r="A248" s="58" t="s">
        <v>743</v>
      </c>
      <c r="B248" s="58" t="s">
        <v>794</v>
      </c>
      <c r="C248" s="58" t="s">
        <v>809</v>
      </c>
      <c r="D248" s="58" t="s">
        <v>791</v>
      </c>
      <c r="E248" s="58">
        <v>2828765</v>
      </c>
      <c r="F248" s="58">
        <v>18</v>
      </c>
      <c r="G248" s="58">
        <v>207293</v>
      </c>
      <c r="H248" s="69">
        <v>45124</v>
      </c>
      <c r="I248" s="58">
        <v>0.42</v>
      </c>
      <c r="J248" s="58">
        <v>2926320.54</v>
      </c>
    </row>
    <row r="249" spans="1:10" ht="15">
      <c r="A249" s="58" t="s">
        <v>740</v>
      </c>
      <c r="B249" s="58" t="s">
        <v>808</v>
      </c>
      <c r="C249" s="58" t="s">
        <v>799</v>
      </c>
      <c r="D249" s="58" t="s">
        <v>791</v>
      </c>
      <c r="E249" s="58">
        <v>2010872</v>
      </c>
      <c r="F249" s="58">
        <v>12</v>
      </c>
      <c r="G249" s="58">
        <v>120532</v>
      </c>
      <c r="H249" s="69">
        <v>45378</v>
      </c>
      <c r="I249" s="58">
        <v>0.22</v>
      </c>
      <c r="J249" s="58">
        <v>1328824.6399999999</v>
      </c>
    </row>
    <row r="250" spans="1:10" ht="15">
      <c r="A250" s="58" t="s">
        <v>744</v>
      </c>
      <c r="B250" s="58" t="s">
        <v>787</v>
      </c>
      <c r="C250" s="58" t="s">
        <v>807</v>
      </c>
      <c r="D250" s="58" t="s">
        <v>789</v>
      </c>
      <c r="E250" s="58">
        <v>749120</v>
      </c>
      <c r="F250" s="58">
        <v>34</v>
      </c>
      <c r="G250" s="58">
        <v>147034</v>
      </c>
      <c r="H250" s="69">
        <v>44817</v>
      </c>
      <c r="I250" s="58">
        <v>0.32</v>
      </c>
      <c r="J250" s="58">
        <v>3155905.2</v>
      </c>
    </row>
    <row r="251" spans="1:10" ht="15">
      <c r="A251" s="58" t="s">
        <v>748</v>
      </c>
      <c r="B251" s="58" t="s">
        <v>804</v>
      </c>
      <c r="C251" s="58" t="s">
        <v>793</v>
      </c>
      <c r="D251" s="58" t="s">
        <v>813</v>
      </c>
      <c r="E251" s="58">
        <v>3070010</v>
      </c>
      <c r="F251" s="58">
        <v>68</v>
      </c>
      <c r="G251" s="58">
        <v>289488</v>
      </c>
      <c r="H251" s="69">
        <v>45406</v>
      </c>
      <c r="I251" s="58">
        <v>7.0000000000000007E-2</v>
      </c>
      <c r="J251" s="58">
        <v>333566.82</v>
      </c>
    </row>
    <row r="252" spans="1:10" ht="15">
      <c r="A252" s="58" t="s">
        <v>745</v>
      </c>
      <c r="B252" s="58" t="s">
        <v>804</v>
      </c>
      <c r="C252" s="58" t="s">
        <v>809</v>
      </c>
      <c r="D252" s="58" t="s">
        <v>801</v>
      </c>
      <c r="E252" s="58">
        <v>3250834</v>
      </c>
      <c r="F252" s="58">
        <v>92</v>
      </c>
      <c r="G252" s="58">
        <v>4420</v>
      </c>
      <c r="H252" s="69">
        <v>44707</v>
      </c>
      <c r="I252" s="58">
        <v>0.45</v>
      </c>
      <c r="J252" s="58">
        <v>1705527.51</v>
      </c>
    </row>
    <row r="253" spans="1:10" ht="15">
      <c r="A253" s="58" t="s">
        <v>746</v>
      </c>
      <c r="B253" s="58" t="s">
        <v>787</v>
      </c>
      <c r="C253" s="58" t="s">
        <v>809</v>
      </c>
      <c r="D253" s="58" t="s">
        <v>789</v>
      </c>
      <c r="E253" s="58">
        <v>4120807</v>
      </c>
      <c r="F253" s="58">
        <v>61</v>
      </c>
      <c r="G253" s="58">
        <v>121998</v>
      </c>
      <c r="H253" s="69">
        <v>44819</v>
      </c>
      <c r="I253" s="58">
        <v>7.0000000000000007E-2</v>
      </c>
      <c r="J253" s="58">
        <v>2305815.35</v>
      </c>
    </row>
    <row r="254" spans="1:10" ht="15">
      <c r="A254" s="58" t="s">
        <v>742</v>
      </c>
      <c r="B254" s="58" t="s">
        <v>804</v>
      </c>
      <c r="C254" s="58" t="s">
        <v>799</v>
      </c>
      <c r="D254" s="58" t="s">
        <v>811</v>
      </c>
      <c r="E254" s="58">
        <v>289940</v>
      </c>
      <c r="F254" s="58">
        <v>74</v>
      </c>
      <c r="G254" s="58">
        <v>423539</v>
      </c>
      <c r="H254" s="69">
        <v>45585</v>
      </c>
      <c r="I254" s="58">
        <v>0.18</v>
      </c>
      <c r="J254" s="58">
        <v>3668011.2</v>
      </c>
    </row>
    <row r="255" spans="1:10" ht="15">
      <c r="A255" s="58" t="s">
        <v>742</v>
      </c>
      <c r="B255" s="58" t="s">
        <v>808</v>
      </c>
      <c r="C255" s="58" t="s">
        <v>799</v>
      </c>
      <c r="D255" s="58" t="s">
        <v>811</v>
      </c>
      <c r="E255" s="58">
        <v>2532811</v>
      </c>
      <c r="F255" s="58">
        <v>36</v>
      </c>
      <c r="G255" s="58">
        <v>430072</v>
      </c>
      <c r="H255" s="69">
        <v>44906</v>
      </c>
      <c r="I255" s="58">
        <v>0.1</v>
      </c>
      <c r="J255" s="58">
        <v>888052.41</v>
      </c>
    </row>
    <row r="256" spans="1:10" ht="15">
      <c r="A256" s="58" t="s">
        <v>740</v>
      </c>
      <c r="B256" s="58" t="s">
        <v>802</v>
      </c>
      <c r="C256" s="58" t="s">
        <v>809</v>
      </c>
      <c r="D256" s="58" t="s">
        <v>810</v>
      </c>
      <c r="E256" s="58">
        <v>2861520</v>
      </c>
      <c r="F256" s="58">
        <v>32</v>
      </c>
      <c r="G256" s="58">
        <v>314353</v>
      </c>
      <c r="H256" s="69">
        <v>45027</v>
      </c>
      <c r="I256" s="58">
        <v>0.36</v>
      </c>
      <c r="J256" s="58">
        <v>4295789.04</v>
      </c>
    </row>
    <row r="257" spans="1:10" ht="15">
      <c r="A257" s="58" t="s">
        <v>742</v>
      </c>
      <c r="B257" s="58" t="s">
        <v>809</v>
      </c>
      <c r="C257" s="58" t="s">
        <v>809</v>
      </c>
      <c r="D257" s="58" t="s">
        <v>805</v>
      </c>
      <c r="E257" s="58">
        <v>2865648</v>
      </c>
      <c r="F257" s="58">
        <v>24</v>
      </c>
      <c r="G257" s="58">
        <v>176041</v>
      </c>
      <c r="H257" s="69">
        <v>44787</v>
      </c>
      <c r="I257" s="58">
        <v>0.18</v>
      </c>
      <c r="J257" s="58">
        <v>3086756.19</v>
      </c>
    </row>
    <row r="258" spans="1:10" ht="15">
      <c r="A258" s="58" t="s">
        <v>741</v>
      </c>
      <c r="B258" s="58" t="s">
        <v>808</v>
      </c>
      <c r="C258" s="58" t="s">
        <v>788</v>
      </c>
      <c r="D258" s="58" t="s">
        <v>800</v>
      </c>
      <c r="E258" s="58">
        <v>4375081</v>
      </c>
      <c r="F258" s="58">
        <v>43</v>
      </c>
      <c r="G258" s="58">
        <v>1416</v>
      </c>
      <c r="H258" s="69">
        <v>44764</v>
      </c>
      <c r="I258" s="58">
        <v>0.49</v>
      </c>
      <c r="J258" s="58">
        <v>2940991.29</v>
      </c>
    </row>
    <row r="259" spans="1:10" ht="15">
      <c r="A259" s="58" t="s">
        <v>742</v>
      </c>
      <c r="B259" s="58" t="s">
        <v>787</v>
      </c>
      <c r="C259" s="58" t="s">
        <v>798</v>
      </c>
      <c r="D259" s="58" t="s">
        <v>796</v>
      </c>
      <c r="E259" s="58">
        <v>3146380</v>
      </c>
      <c r="F259" s="58">
        <v>91</v>
      </c>
      <c r="G259" s="58">
        <v>203259</v>
      </c>
      <c r="H259" s="69">
        <v>45095</v>
      </c>
      <c r="I259" s="58">
        <v>0.24</v>
      </c>
      <c r="J259" s="58">
        <v>2308556.67</v>
      </c>
    </row>
    <row r="260" spans="1:10" ht="15">
      <c r="A260" s="58" t="s">
        <v>748</v>
      </c>
      <c r="B260" s="58" t="s">
        <v>809</v>
      </c>
      <c r="C260" s="58" t="s">
        <v>798</v>
      </c>
      <c r="D260" s="58" t="s">
        <v>813</v>
      </c>
      <c r="E260" s="58">
        <v>2177769</v>
      </c>
      <c r="F260" s="58">
        <v>78</v>
      </c>
      <c r="G260" s="58">
        <v>226686</v>
      </c>
      <c r="H260" s="69">
        <v>45060</v>
      </c>
      <c r="I260" s="58">
        <v>0.49</v>
      </c>
      <c r="J260" s="58">
        <v>900541.48</v>
      </c>
    </row>
    <row r="261" spans="1:10" ht="15">
      <c r="A261" s="58" t="s">
        <v>748</v>
      </c>
      <c r="B261" s="58" t="s">
        <v>794</v>
      </c>
      <c r="C261" s="58" t="s">
        <v>788</v>
      </c>
      <c r="D261" s="58" t="s">
        <v>805</v>
      </c>
      <c r="E261" s="58">
        <v>3645192</v>
      </c>
      <c r="F261" s="58">
        <v>94</v>
      </c>
      <c r="G261" s="58">
        <v>291961</v>
      </c>
      <c r="H261" s="69">
        <v>45248</v>
      </c>
      <c r="I261" s="58">
        <v>0.28999999999999998</v>
      </c>
      <c r="J261" s="58">
        <v>365390.64</v>
      </c>
    </row>
    <row r="262" spans="1:10" ht="15">
      <c r="A262" s="58" t="s">
        <v>746</v>
      </c>
      <c r="B262" s="58" t="s">
        <v>802</v>
      </c>
      <c r="C262" s="58" t="s">
        <v>788</v>
      </c>
      <c r="D262" s="58" t="s">
        <v>813</v>
      </c>
      <c r="E262" s="58">
        <v>509549</v>
      </c>
      <c r="F262" s="58">
        <v>52</v>
      </c>
      <c r="G262" s="58">
        <v>188933</v>
      </c>
      <c r="H262" s="69">
        <v>45371</v>
      </c>
      <c r="I262" s="58">
        <v>0.17</v>
      </c>
      <c r="J262" s="58">
        <v>2150200.5</v>
      </c>
    </row>
    <row r="263" spans="1:10" ht="15">
      <c r="A263" s="58" t="s">
        <v>743</v>
      </c>
      <c r="B263" s="58" t="s">
        <v>809</v>
      </c>
      <c r="C263" s="58" t="s">
        <v>788</v>
      </c>
      <c r="D263" s="58" t="s">
        <v>806</v>
      </c>
      <c r="E263" s="58">
        <v>4231683</v>
      </c>
      <c r="F263" s="58">
        <v>26</v>
      </c>
      <c r="G263" s="58">
        <v>463779</v>
      </c>
      <c r="H263" s="69">
        <v>44705</v>
      </c>
      <c r="I263" s="58">
        <v>0.09</v>
      </c>
      <c r="J263" s="58">
        <v>265549.44</v>
      </c>
    </row>
    <row r="264" spans="1:10" ht="15">
      <c r="A264" s="58" t="s">
        <v>749</v>
      </c>
      <c r="B264" s="58" t="s">
        <v>787</v>
      </c>
      <c r="C264" s="58" t="s">
        <v>788</v>
      </c>
      <c r="D264" s="58" t="s">
        <v>800</v>
      </c>
      <c r="E264" s="58">
        <v>4173099</v>
      </c>
      <c r="F264" s="58">
        <v>34</v>
      </c>
      <c r="G264" s="58">
        <v>98146</v>
      </c>
      <c r="H264" s="69">
        <v>45160</v>
      </c>
      <c r="I264" s="58">
        <v>0.15</v>
      </c>
      <c r="J264" s="58">
        <v>4437233.96</v>
      </c>
    </row>
    <row r="265" spans="1:10" ht="15">
      <c r="A265" s="58" t="s">
        <v>742</v>
      </c>
      <c r="B265" s="58" t="s">
        <v>808</v>
      </c>
      <c r="C265" s="58" t="s">
        <v>799</v>
      </c>
      <c r="D265" s="58" t="s">
        <v>810</v>
      </c>
      <c r="E265" s="58">
        <v>4666181</v>
      </c>
      <c r="F265" s="58">
        <v>29</v>
      </c>
      <c r="G265" s="58">
        <v>475565</v>
      </c>
      <c r="H265" s="69">
        <v>44646</v>
      </c>
      <c r="I265" s="58">
        <v>0.35</v>
      </c>
      <c r="J265" s="58">
        <v>2283454.9500000002</v>
      </c>
    </row>
    <row r="266" spans="1:10" ht="15">
      <c r="A266" s="58" t="s">
        <v>741</v>
      </c>
      <c r="B266" s="58" t="s">
        <v>794</v>
      </c>
      <c r="C266" s="58" t="s">
        <v>795</v>
      </c>
      <c r="D266" s="58" t="s">
        <v>791</v>
      </c>
      <c r="E266" s="58">
        <v>3123971</v>
      </c>
      <c r="F266" s="58">
        <v>67</v>
      </c>
      <c r="G266" s="58">
        <v>94121</v>
      </c>
      <c r="H266" s="69">
        <v>45602</v>
      </c>
      <c r="I266" s="58">
        <v>0.3</v>
      </c>
      <c r="J266" s="58">
        <v>2776439.55</v>
      </c>
    </row>
    <row r="267" spans="1:10" ht="15">
      <c r="A267" s="58" t="s">
        <v>747</v>
      </c>
      <c r="B267" s="58" t="s">
        <v>802</v>
      </c>
      <c r="C267" s="58" t="s">
        <v>798</v>
      </c>
      <c r="D267" s="58" t="s">
        <v>811</v>
      </c>
      <c r="E267" s="58">
        <v>610332</v>
      </c>
      <c r="F267" s="58">
        <v>48</v>
      </c>
      <c r="G267" s="58">
        <v>119230</v>
      </c>
      <c r="H267" s="69">
        <v>45078</v>
      </c>
      <c r="I267" s="58">
        <v>0.04</v>
      </c>
      <c r="J267" s="58">
        <v>2875043.56</v>
      </c>
    </row>
    <row r="268" spans="1:10" ht="15">
      <c r="A268" s="58" t="s">
        <v>744</v>
      </c>
      <c r="B268" s="58" t="s">
        <v>809</v>
      </c>
      <c r="C268" s="58" t="s">
        <v>799</v>
      </c>
      <c r="D268" s="58" t="s">
        <v>813</v>
      </c>
      <c r="E268" s="58">
        <v>289770</v>
      </c>
      <c r="F268" s="58">
        <v>43</v>
      </c>
      <c r="G268" s="58">
        <v>20701</v>
      </c>
      <c r="H268" s="69">
        <v>44564</v>
      </c>
      <c r="I268" s="58">
        <v>0.47</v>
      </c>
      <c r="J268" s="58">
        <v>2274948.52</v>
      </c>
    </row>
    <row r="269" spans="1:10" ht="15">
      <c r="A269" s="58" t="s">
        <v>743</v>
      </c>
      <c r="B269" s="58" t="s">
        <v>794</v>
      </c>
      <c r="C269" s="58" t="s">
        <v>809</v>
      </c>
      <c r="D269" s="58" t="s">
        <v>791</v>
      </c>
      <c r="E269" s="58">
        <v>468595</v>
      </c>
      <c r="F269" s="58">
        <v>6</v>
      </c>
      <c r="G269" s="58">
        <v>373529</v>
      </c>
      <c r="H269" s="69">
        <v>45357</v>
      </c>
      <c r="I269" s="58">
        <v>0.46</v>
      </c>
      <c r="J269" s="58">
        <v>1222708.3899999999</v>
      </c>
    </row>
    <row r="270" spans="1:10" ht="15">
      <c r="A270" s="58" t="s">
        <v>745</v>
      </c>
      <c r="B270" s="58" t="s">
        <v>804</v>
      </c>
      <c r="C270" s="58" t="s">
        <v>807</v>
      </c>
      <c r="D270" s="58" t="s">
        <v>801</v>
      </c>
      <c r="E270" s="58">
        <v>1844929</v>
      </c>
      <c r="F270" s="58">
        <v>1</v>
      </c>
      <c r="G270" s="58">
        <v>220252</v>
      </c>
      <c r="H270" s="69">
        <v>45496</v>
      </c>
      <c r="I270" s="58">
        <v>0.02</v>
      </c>
      <c r="J270" s="58">
        <v>865793.68</v>
      </c>
    </row>
    <row r="271" spans="1:10" ht="15">
      <c r="A271" s="58" t="s">
        <v>744</v>
      </c>
      <c r="B271" s="58" t="s">
        <v>814</v>
      </c>
      <c r="C271" s="58" t="s">
        <v>809</v>
      </c>
      <c r="D271" s="58" t="s">
        <v>803</v>
      </c>
      <c r="E271" s="58">
        <v>4494492</v>
      </c>
      <c r="F271" s="58">
        <v>24</v>
      </c>
      <c r="G271" s="58">
        <v>219299</v>
      </c>
      <c r="H271" s="69">
        <v>44874</v>
      </c>
      <c r="I271" s="58">
        <v>0.42</v>
      </c>
      <c r="J271" s="58">
        <v>1686567.12</v>
      </c>
    </row>
    <row r="272" spans="1:10" ht="15">
      <c r="A272" s="58" t="s">
        <v>747</v>
      </c>
      <c r="B272" s="58" t="s">
        <v>808</v>
      </c>
      <c r="C272" s="58" t="s">
        <v>809</v>
      </c>
      <c r="D272" s="58" t="s">
        <v>811</v>
      </c>
      <c r="E272" s="58">
        <v>4513946</v>
      </c>
      <c r="F272" s="58">
        <v>73</v>
      </c>
      <c r="G272" s="58">
        <v>172653</v>
      </c>
      <c r="H272" s="69">
        <v>44885</v>
      </c>
      <c r="I272" s="58">
        <v>0.22</v>
      </c>
      <c r="J272" s="58">
        <v>1698166.8</v>
      </c>
    </row>
    <row r="273" spans="1:10" ht="15">
      <c r="A273" s="58" t="s">
        <v>742</v>
      </c>
      <c r="B273" s="58" t="s">
        <v>794</v>
      </c>
      <c r="C273" s="58" t="s">
        <v>795</v>
      </c>
      <c r="D273" s="58" t="s">
        <v>813</v>
      </c>
      <c r="E273" s="58">
        <v>3946631</v>
      </c>
      <c r="F273" s="58">
        <v>88</v>
      </c>
      <c r="G273" s="58">
        <v>199564</v>
      </c>
      <c r="H273" s="69">
        <v>45455</v>
      </c>
      <c r="I273" s="58">
        <v>0.16</v>
      </c>
      <c r="J273" s="58">
        <v>2258356.14</v>
      </c>
    </row>
    <row r="274" spans="1:10" ht="15">
      <c r="A274" s="58" t="s">
        <v>747</v>
      </c>
      <c r="B274" s="58" t="s">
        <v>787</v>
      </c>
      <c r="C274" s="58" t="s">
        <v>798</v>
      </c>
      <c r="D274" s="58" t="s">
        <v>789</v>
      </c>
      <c r="E274" s="58">
        <v>2744092</v>
      </c>
      <c r="F274" s="58">
        <v>66</v>
      </c>
      <c r="G274" s="58">
        <v>119694</v>
      </c>
      <c r="H274" s="69">
        <v>45521</v>
      </c>
      <c r="I274" s="58">
        <v>0.08</v>
      </c>
      <c r="J274" s="58">
        <v>981595.44</v>
      </c>
    </row>
    <row r="275" spans="1:10" ht="15">
      <c r="A275" s="58" t="s">
        <v>748</v>
      </c>
      <c r="B275" s="58" t="s">
        <v>794</v>
      </c>
      <c r="C275" s="58" t="s">
        <v>798</v>
      </c>
      <c r="D275" s="58" t="s">
        <v>803</v>
      </c>
      <c r="E275" s="58">
        <v>3508281</v>
      </c>
      <c r="F275" s="58">
        <v>57</v>
      </c>
      <c r="G275" s="58">
        <v>393160</v>
      </c>
      <c r="H275" s="69">
        <v>44850</v>
      </c>
      <c r="I275" s="58">
        <v>0.28999999999999998</v>
      </c>
      <c r="J275" s="58">
        <v>1974462.42</v>
      </c>
    </row>
    <row r="276" spans="1:10" ht="15">
      <c r="A276" s="58" t="s">
        <v>743</v>
      </c>
      <c r="B276" s="58" t="s">
        <v>790</v>
      </c>
      <c r="C276" s="58" t="s">
        <v>795</v>
      </c>
      <c r="D276" s="58" t="s">
        <v>805</v>
      </c>
      <c r="E276" s="58">
        <v>380164</v>
      </c>
      <c r="F276" s="58">
        <v>65</v>
      </c>
      <c r="G276" s="58">
        <v>190716</v>
      </c>
      <c r="H276" s="69">
        <v>44679</v>
      </c>
      <c r="I276" s="58">
        <v>0.25</v>
      </c>
      <c r="J276" s="58">
        <v>3254309.41</v>
      </c>
    </row>
    <row r="277" spans="1:10" ht="15">
      <c r="A277" s="58" t="s">
        <v>743</v>
      </c>
      <c r="B277" s="58" t="s">
        <v>787</v>
      </c>
      <c r="C277" s="58" t="s">
        <v>799</v>
      </c>
      <c r="D277" s="58" t="s">
        <v>815</v>
      </c>
      <c r="E277" s="58">
        <v>3819331</v>
      </c>
      <c r="F277" s="58">
        <v>76</v>
      </c>
      <c r="G277" s="58">
        <v>85370</v>
      </c>
      <c r="H277" s="69">
        <v>45020</v>
      </c>
      <c r="I277" s="58">
        <v>0.21</v>
      </c>
      <c r="J277" s="58">
        <v>1822311.56</v>
      </c>
    </row>
    <row r="278" spans="1:10" ht="15">
      <c r="A278" s="58" t="s">
        <v>741</v>
      </c>
      <c r="B278" s="58" t="s">
        <v>797</v>
      </c>
      <c r="C278" s="58" t="s">
        <v>793</v>
      </c>
      <c r="D278" s="58" t="s">
        <v>805</v>
      </c>
      <c r="E278" s="58">
        <v>4251476</v>
      </c>
      <c r="F278" s="58">
        <v>20</v>
      </c>
      <c r="G278" s="58">
        <v>278053</v>
      </c>
      <c r="H278" s="69">
        <v>45418</v>
      </c>
      <c r="I278" s="58">
        <v>0.1</v>
      </c>
      <c r="J278" s="58">
        <v>296633.03999999998</v>
      </c>
    </row>
    <row r="279" spans="1:10" ht="15">
      <c r="A279" s="58" t="s">
        <v>742</v>
      </c>
      <c r="B279" s="58" t="s">
        <v>792</v>
      </c>
      <c r="C279" s="58" t="s">
        <v>788</v>
      </c>
      <c r="D279" s="58" t="s">
        <v>801</v>
      </c>
      <c r="E279" s="58">
        <v>3842792</v>
      </c>
      <c r="F279" s="58">
        <v>83</v>
      </c>
      <c r="G279" s="58">
        <v>225151</v>
      </c>
      <c r="H279" s="69">
        <v>45515</v>
      </c>
      <c r="I279" s="58">
        <v>0.09</v>
      </c>
      <c r="J279" s="58">
        <v>1310161.06</v>
      </c>
    </row>
    <row r="280" spans="1:10" ht="15">
      <c r="A280" s="58" t="s">
        <v>743</v>
      </c>
      <c r="B280" s="58" t="s">
        <v>794</v>
      </c>
      <c r="C280" s="58" t="s">
        <v>795</v>
      </c>
      <c r="D280" s="58" t="s">
        <v>791</v>
      </c>
      <c r="E280" s="58">
        <v>3975328</v>
      </c>
      <c r="F280" s="58">
        <v>6</v>
      </c>
      <c r="G280" s="58">
        <v>415444</v>
      </c>
      <c r="H280" s="69">
        <v>44679</v>
      </c>
      <c r="I280" s="58">
        <v>0.25</v>
      </c>
      <c r="J280" s="58">
        <v>2601636.75</v>
      </c>
    </row>
    <row r="281" spans="1:10" ht="15">
      <c r="A281" s="58" t="s">
        <v>746</v>
      </c>
      <c r="B281" s="58" t="s">
        <v>787</v>
      </c>
      <c r="C281" s="58" t="s">
        <v>799</v>
      </c>
      <c r="D281" s="58" t="s">
        <v>800</v>
      </c>
      <c r="E281" s="58">
        <v>34676</v>
      </c>
      <c r="F281" s="58">
        <v>49</v>
      </c>
      <c r="G281" s="58">
        <v>221769</v>
      </c>
      <c r="H281" s="69">
        <v>44796</v>
      </c>
      <c r="I281" s="58">
        <v>0.27</v>
      </c>
      <c r="J281" s="58">
        <v>1462434.65</v>
      </c>
    </row>
    <row r="282" spans="1:10" ht="15">
      <c r="A282" s="58" t="s">
        <v>744</v>
      </c>
      <c r="B282" s="58" t="s">
        <v>790</v>
      </c>
      <c r="C282" s="58" t="s">
        <v>793</v>
      </c>
      <c r="D282" s="58" t="s">
        <v>789</v>
      </c>
      <c r="E282" s="58">
        <v>3337017</v>
      </c>
      <c r="F282" s="58">
        <v>31</v>
      </c>
      <c r="G282" s="58">
        <v>55695</v>
      </c>
      <c r="H282" s="69">
        <v>45349</v>
      </c>
      <c r="I282" s="58">
        <v>0.06</v>
      </c>
      <c r="J282" s="58">
        <v>288819</v>
      </c>
    </row>
    <row r="283" spans="1:10" ht="15">
      <c r="A283" s="58" t="s">
        <v>748</v>
      </c>
      <c r="B283" s="58" t="s">
        <v>804</v>
      </c>
      <c r="C283" s="58" t="s">
        <v>793</v>
      </c>
      <c r="D283" s="58" t="s">
        <v>789</v>
      </c>
      <c r="E283" s="58">
        <v>837902</v>
      </c>
      <c r="F283" s="58">
        <v>75</v>
      </c>
      <c r="G283" s="58">
        <v>180616</v>
      </c>
      <c r="H283" s="69">
        <v>44787</v>
      </c>
      <c r="I283" s="58">
        <v>0.38</v>
      </c>
      <c r="J283" s="58">
        <v>2946354.32</v>
      </c>
    </row>
    <row r="284" spans="1:10" ht="15">
      <c r="A284" s="58" t="s">
        <v>740</v>
      </c>
      <c r="B284" s="58" t="s">
        <v>814</v>
      </c>
      <c r="C284" s="58" t="s">
        <v>798</v>
      </c>
      <c r="D284" s="58" t="s">
        <v>800</v>
      </c>
      <c r="E284" s="58">
        <v>566665</v>
      </c>
      <c r="F284" s="58">
        <v>66</v>
      </c>
      <c r="G284" s="58">
        <v>167424</v>
      </c>
      <c r="H284" s="69">
        <v>45561</v>
      </c>
      <c r="I284" s="58">
        <v>0.33</v>
      </c>
      <c r="J284" s="58">
        <v>3518380.15</v>
      </c>
    </row>
    <row r="285" spans="1:10" ht="15">
      <c r="A285" s="58" t="s">
        <v>742</v>
      </c>
      <c r="B285" s="58" t="s">
        <v>797</v>
      </c>
      <c r="C285" s="58" t="s">
        <v>793</v>
      </c>
      <c r="D285" s="58" t="s">
        <v>803</v>
      </c>
      <c r="E285" s="58">
        <v>3444030</v>
      </c>
      <c r="F285" s="58">
        <v>16</v>
      </c>
      <c r="G285" s="58">
        <v>57417</v>
      </c>
      <c r="H285" s="69">
        <v>44642</v>
      </c>
      <c r="I285" s="58">
        <v>0.19</v>
      </c>
      <c r="J285" s="58">
        <v>2509740.08</v>
      </c>
    </row>
    <row r="286" spans="1:10" ht="15">
      <c r="A286" s="58" t="s">
        <v>748</v>
      </c>
      <c r="B286" s="58" t="s">
        <v>804</v>
      </c>
      <c r="C286" s="58" t="s">
        <v>793</v>
      </c>
      <c r="D286" s="58" t="s">
        <v>813</v>
      </c>
      <c r="E286" s="58">
        <v>691754</v>
      </c>
      <c r="F286" s="58">
        <v>30</v>
      </c>
      <c r="G286" s="58">
        <v>195365</v>
      </c>
      <c r="H286" s="69">
        <v>45205</v>
      </c>
      <c r="I286" s="58">
        <v>0.32</v>
      </c>
      <c r="J286" s="58">
        <v>2181709.3199999998</v>
      </c>
    </row>
    <row r="287" spans="1:10" ht="15">
      <c r="A287" s="58" t="s">
        <v>742</v>
      </c>
      <c r="B287" s="58" t="s">
        <v>797</v>
      </c>
      <c r="C287" s="58" t="s">
        <v>793</v>
      </c>
      <c r="D287" s="58" t="s">
        <v>810</v>
      </c>
      <c r="E287" s="58">
        <v>4398805</v>
      </c>
      <c r="F287" s="58">
        <v>41</v>
      </c>
      <c r="G287" s="58">
        <v>345357</v>
      </c>
      <c r="H287" s="69">
        <v>45368</v>
      </c>
      <c r="I287" s="58">
        <v>0.41</v>
      </c>
      <c r="J287" s="58">
        <v>1859891.86</v>
      </c>
    </row>
    <row r="288" spans="1:10" ht="15">
      <c r="A288" s="58" t="s">
        <v>749</v>
      </c>
      <c r="B288" s="58" t="s">
        <v>790</v>
      </c>
      <c r="C288" s="58" t="s">
        <v>799</v>
      </c>
      <c r="D288" s="58" t="s">
        <v>815</v>
      </c>
      <c r="E288" s="58">
        <v>1039382</v>
      </c>
      <c r="F288" s="58">
        <v>39</v>
      </c>
      <c r="G288" s="58">
        <v>253767</v>
      </c>
      <c r="H288" s="69">
        <v>45037</v>
      </c>
      <c r="I288" s="58">
        <v>7.0000000000000007E-2</v>
      </c>
      <c r="J288" s="58">
        <v>1574354.66</v>
      </c>
    </row>
    <row r="289" spans="1:10" ht="15">
      <c r="A289" s="58" t="s">
        <v>745</v>
      </c>
      <c r="B289" s="58" t="s">
        <v>790</v>
      </c>
      <c r="C289" s="58" t="s">
        <v>799</v>
      </c>
      <c r="D289" s="58" t="s">
        <v>801</v>
      </c>
      <c r="E289" s="58">
        <v>1066889</v>
      </c>
      <c r="F289" s="58">
        <v>91</v>
      </c>
      <c r="G289" s="58">
        <v>444319</v>
      </c>
      <c r="H289" s="69">
        <v>45216</v>
      </c>
      <c r="I289" s="58">
        <v>0.24</v>
      </c>
      <c r="J289" s="58">
        <v>1818785.97</v>
      </c>
    </row>
    <row r="290" spans="1:10" ht="15">
      <c r="A290" s="58" t="s">
        <v>740</v>
      </c>
      <c r="B290" s="58" t="s">
        <v>787</v>
      </c>
      <c r="C290" s="58" t="s">
        <v>807</v>
      </c>
      <c r="D290" s="58" t="s">
        <v>791</v>
      </c>
      <c r="E290" s="58">
        <v>1461933</v>
      </c>
      <c r="F290" s="58">
        <v>14</v>
      </c>
      <c r="G290" s="58">
        <v>346800</v>
      </c>
      <c r="H290" s="69">
        <v>44585</v>
      </c>
      <c r="I290" s="58">
        <v>0.25</v>
      </c>
      <c r="J290" s="58">
        <v>338145.22</v>
      </c>
    </row>
    <row r="291" spans="1:10" ht="15">
      <c r="A291" s="58" t="s">
        <v>749</v>
      </c>
      <c r="B291" s="58" t="s">
        <v>809</v>
      </c>
      <c r="C291" s="58" t="s">
        <v>795</v>
      </c>
      <c r="D291" s="58" t="s">
        <v>813</v>
      </c>
      <c r="E291" s="58">
        <v>3688365</v>
      </c>
      <c r="F291" s="58">
        <v>19</v>
      </c>
      <c r="G291" s="58">
        <v>274549</v>
      </c>
      <c r="H291" s="69">
        <v>45026</v>
      </c>
      <c r="I291" s="58">
        <v>0.22</v>
      </c>
      <c r="J291" s="58">
        <v>2283783.36</v>
      </c>
    </row>
    <row r="292" spans="1:10" ht="15">
      <c r="A292" s="58" t="s">
        <v>744</v>
      </c>
      <c r="B292" s="58" t="s">
        <v>792</v>
      </c>
      <c r="C292" s="58" t="s">
        <v>809</v>
      </c>
      <c r="D292" s="58" t="s">
        <v>800</v>
      </c>
      <c r="E292" s="58">
        <v>3004584</v>
      </c>
      <c r="F292" s="58">
        <v>96</v>
      </c>
      <c r="G292" s="58">
        <v>75089</v>
      </c>
      <c r="H292" s="69">
        <v>45189</v>
      </c>
      <c r="I292" s="58">
        <v>0.5</v>
      </c>
      <c r="J292" s="58">
        <v>3332859.66</v>
      </c>
    </row>
    <row r="293" spans="1:10" ht="15">
      <c r="A293" s="58" t="s">
        <v>748</v>
      </c>
      <c r="B293" s="58" t="s">
        <v>804</v>
      </c>
      <c r="C293" s="58" t="s">
        <v>793</v>
      </c>
      <c r="D293" s="58" t="s">
        <v>791</v>
      </c>
      <c r="E293" s="58">
        <v>4165266</v>
      </c>
      <c r="F293" s="58">
        <v>71</v>
      </c>
      <c r="G293" s="58">
        <v>95098</v>
      </c>
      <c r="H293" s="69">
        <v>45471</v>
      </c>
      <c r="I293" s="58">
        <v>0.48</v>
      </c>
      <c r="J293" s="58">
        <v>1679644.08</v>
      </c>
    </row>
    <row r="294" spans="1:10" ht="15">
      <c r="A294" s="58" t="s">
        <v>742</v>
      </c>
      <c r="B294" s="58" t="s">
        <v>797</v>
      </c>
      <c r="C294" s="58" t="s">
        <v>788</v>
      </c>
      <c r="D294" s="58" t="s">
        <v>800</v>
      </c>
      <c r="E294" s="58">
        <v>4378213</v>
      </c>
      <c r="F294" s="58">
        <v>5</v>
      </c>
      <c r="G294" s="58">
        <v>71352</v>
      </c>
      <c r="H294" s="69">
        <v>45041</v>
      </c>
      <c r="I294" s="58">
        <v>0.43</v>
      </c>
      <c r="J294" s="58">
        <v>211259.3</v>
      </c>
    </row>
    <row r="295" spans="1:10" ht="15">
      <c r="A295" s="58" t="s">
        <v>740</v>
      </c>
      <c r="B295" s="58" t="s">
        <v>792</v>
      </c>
      <c r="C295" s="58" t="s">
        <v>809</v>
      </c>
      <c r="D295" s="58" t="s">
        <v>806</v>
      </c>
      <c r="E295" s="58">
        <v>4945471</v>
      </c>
      <c r="F295" s="58">
        <v>25</v>
      </c>
      <c r="G295" s="58">
        <v>72495</v>
      </c>
      <c r="H295" s="69">
        <v>45271</v>
      </c>
      <c r="I295" s="58">
        <v>0.5</v>
      </c>
      <c r="J295" s="58">
        <v>429303.84</v>
      </c>
    </row>
    <row r="296" spans="1:10" ht="15">
      <c r="A296" s="58" t="s">
        <v>742</v>
      </c>
      <c r="B296" s="58" t="s">
        <v>802</v>
      </c>
      <c r="C296" s="58" t="s">
        <v>807</v>
      </c>
      <c r="D296" s="58" t="s">
        <v>801</v>
      </c>
      <c r="E296" s="58">
        <v>4420627</v>
      </c>
      <c r="F296" s="58">
        <v>88</v>
      </c>
      <c r="G296" s="58">
        <v>192088</v>
      </c>
      <c r="H296" s="69">
        <v>44936</v>
      </c>
      <c r="I296" s="58">
        <v>0.43</v>
      </c>
      <c r="J296" s="58">
        <v>207226.8</v>
      </c>
    </row>
    <row r="297" spans="1:10" ht="15">
      <c r="A297" s="58" t="s">
        <v>748</v>
      </c>
      <c r="B297" s="58" t="s">
        <v>804</v>
      </c>
      <c r="C297" s="58" t="s">
        <v>798</v>
      </c>
      <c r="D297" s="58" t="s">
        <v>812</v>
      </c>
      <c r="E297" s="58">
        <v>1369742</v>
      </c>
      <c r="F297" s="58">
        <v>68</v>
      </c>
      <c r="G297" s="58">
        <v>392062</v>
      </c>
      <c r="H297" s="69">
        <v>45648</v>
      </c>
      <c r="I297" s="58">
        <v>0.28000000000000003</v>
      </c>
      <c r="J297" s="58">
        <v>374074.15</v>
      </c>
    </row>
    <row r="298" spans="1:10" ht="15">
      <c r="A298" s="58" t="s">
        <v>748</v>
      </c>
      <c r="B298" s="58" t="s">
        <v>792</v>
      </c>
      <c r="C298" s="58" t="s">
        <v>793</v>
      </c>
      <c r="D298" s="58" t="s">
        <v>791</v>
      </c>
      <c r="E298" s="58">
        <v>2549112</v>
      </c>
      <c r="F298" s="58">
        <v>62</v>
      </c>
      <c r="G298" s="58">
        <v>258622</v>
      </c>
      <c r="H298" s="69">
        <v>45091</v>
      </c>
      <c r="I298" s="58">
        <v>0.46</v>
      </c>
      <c r="J298" s="58">
        <v>1834888.25</v>
      </c>
    </row>
    <row r="299" spans="1:10" ht="15">
      <c r="A299" s="58" t="s">
        <v>748</v>
      </c>
      <c r="B299" s="58" t="s">
        <v>790</v>
      </c>
      <c r="C299" s="58" t="s">
        <v>798</v>
      </c>
      <c r="D299" s="58" t="s">
        <v>803</v>
      </c>
      <c r="E299" s="58">
        <v>3055534</v>
      </c>
      <c r="F299" s="58">
        <v>76</v>
      </c>
      <c r="G299" s="58">
        <v>388398</v>
      </c>
      <c r="H299" s="69">
        <v>44672</v>
      </c>
      <c r="I299" s="58">
        <v>0.37</v>
      </c>
      <c r="J299" s="58">
        <v>2436389.7599999998</v>
      </c>
    </row>
    <row r="300" spans="1:10" ht="15">
      <c r="A300" s="58" t="s">
        <v>743</v>
      </c>
      <c r="B300" s="58" t="s">
        <v>804</v>
      </c>
      <c r="C300" s="58" t="s">
        <v>795</v>
      </c>
      <c r="D300" s="58" t="s">
        <v>815</v>
      </c>
      <c r="E300" s="58">
        <v>4773871</v>
      </c>
      <c r="F300" s="58">
        <v>47</v>
      </c>
      <c r="G300" s="58">
        <v>365153</v>
      </c>
      <c r="H300" s="69">
        <v>44585</v>
      </c>
      <c r="I300" s="58">
        <v>0.34</v>
      </c>
      <c r="J300" s="58">
        <v>2039578.58</v>
      </c>
    </row>
    <row r="301" spans="1:10" ht="15">
      <c r="A301" s="58" t="s">
        <v>746</v>
      </c>
      <c r="B301" s="58" t="s">
        <v>792</v>
      </c>
      <c r="C301" s="58" t="s">
        <v>799</v>
      </c>
      <c r="D301" s="58" t="s">
        <v>789</v>
      </c>
      <c r="E301" s="58">
        <v>3186929</v>
      </c>
      <c r="F301" s="58">
        <v>19</v>
      </c>
      <c r="G301" s="58">
        <v>440356</v>
      </c>
      <c r="H301" s="69">
        <v>45024</v>
      </c>
      <c r="I301" s="58">
        <v>0.04</v>
      </c>
      <c r="J301" s="58">
        <v>872425.08</v>
      </c>
    </row>
    <row r="302" spans="1:10" ht="15">
      <c r="A302" s="58" t="s">
        <v>748</v>
      </c>
      <c r="B302" s="58" t="s">
        <v>809</v>
      </c>
      <c r="C302" s="58" t="s">
        <v>793</v>
      </c>
      <c r="D302" s="58" t="s">
        <v>789</v>
      </c>
      <c r="E302" s="58">
        <v>257827</v>
      </c>
      <c r="F302" s="58">
        <v>80</v>
      </c>
      <c r="G302" s="58">
        <v>239525</v>
      </c>
      <c r="H302" s="69">
        <v>44635</v>
      </c>
      <c r="I302" s="58">
        <v>0.04</v>
      </c>
      <c r="J302" s="58">
        <v>1374715.71</v>
      </c>
    </row>
    <row r="303" spans="1:10" ht="15">
      <c r="A303" s="58" t="s">
        <v>740</v>
      </c>
      <c r="B303" s="58" t="s">
        <v>790</v>
      </c>
      <c r="C303" s="58" t="s">
        <v>798</v>
      </c>
      <c r="D303" s="58" t="s">
        <v>801</v>
      </c>
      <c r="E303" s="58">
        <v>2453641</v>
      </c>
      <c r="F303" s="58">
        <v>45</v>
      </c>
      <c r="G303" s="58">
        <v>372927</v>
      </c>
      <c r="H303" s="69">
        <v>45606</v>
      </c>
      <c r="I303" s="58">
        <v>0.39</v>
      </c>
      <c r="J303" s="58">
        <v>775139.64</v>
      </c>
    </row>
    <row r="304" spans="1:10" ht="15">
      <c r="A304" s="58" t="s">
        <v>743</v>
      </c>
      <c r="B304" s="58" t="s">
        <v>792</v>
      </c>
      <c r="C304" s="58" t="s">
        <v>807</v>
      </c>
      <c r="D304" s="58" t="s">
        <v>791</v>
      </c>
      <c r="E304" s="58">
        <v>2009195</v>
      </c>
      <c r="F304" s="58">
        <v>37</v>
      </c>
      <c r="G304" s="58">
        <v>121609</v>
      </c>
      <c r="H304" s="69">
        <v>45328</v>
      </c>
      <c r="I304" s="58">
        <v>0.28000000000000003</v>
      </c>
      <c r="J304" s="58">
        <v>3486492.81</v>
      </c>
    </row>
    <row r="305" spans="1:10" ht="15">
      <c r="A305" s="58" t="s">
        <v>746</v>
      </c>
      <c r="B305" s="58" t="s">
        <v>787</v>
      </c>
      <c r="C305" s="58" t="s">
        <v>798</v>
      </c>
      <c r="D305" s="58" t="s">
        <v>815</v>
      </c>
      <c r="E305" s="58">
        <v>1128214</v>
      </c>
      <c r="F305" s="58">
        <v>38</v>
      </c>
      <c r="G305" s="58">
        <v>449345</v>
      </c>
      <c r="H305" s="69">
        <v>44992</v>
      </c>
      <c r="I305" s="58">
        <v>0.48</v>
      </c>
      <c r="J305" s="58">
        <v>1863092</v>
      </c>
    </row>
    <row r="306" spans="1:10" ht="15">
      <c r="A306" s="58" t="s">
        <v>742</v>
      </c>
      <c r="B306" s="58" t="s">
        <v>797</v>
      </c>
      <c r="C306" s="58" t="s">
        <v>809</v>
      </c>
      <c r="D306" s="58" t="s">
        <v>800</v>
      </c>
      <c r="E306" s="58">
        <v>4667106</v>
      </c>
      <c r="F306" s="58">
        <v>9</v>
      </c>
      <c r="G306" s="58">
        <v>305234</v>
      </c>
      <c r="H306" s="69">
        <v>45647</v>
      </c>
      <c r="I306" s="58">
        <v>0.34</v>
      </c>
      <c r="J306" s="58">
        <v>3085730.52</v>
      </c>
    </row>
    <row r="307" spans="1:10" ht="15">
      <c r="A307" s="58" t="s">
        <v>740</v>
      </c>
      <c r="B307" s="58" t="s">
        <v>808</v>
      </c>
      <c r="C307" s="58" t="s">
        <v>799</v>
      </c>
      <c r="D307" s="58" t="s">
        <v>815</v>
      </c>
      <c r="E307" s="58">
        <v>3423584</v>
      </c>
      <c r="F307" s="58">
        <v>25</v>
      </c>
      <c r="G307" s="58">
        <v>259924</v>
      </c>
      <c r="H307" s="69">
        <v>44880</v>
      </c>
      <c r="I307" s="58">
        <v>0.39</v>
      </c>
      <c r="J307" s="58">
        <v>1721116.22</v>
      </c>
    </row>
    <row r="308" spans="1:10" ht="15">
      <c r="A308" s="58" t="s">
        <v>740</v>
      </c>
      <c r="B308" s="58" t="s">
        <v>809</v>
      </c>
      <c r="C308" s="58" t="s">
        <v>809</v>
      </c>
      <c r="D308" s="58" t="s">
        <v>800</v>
      </c>
      <c r="E308" s="58">
        <v>304106</v>
      </c>
      <c r="F308" s="58">
        <v>94</v>
      </c>
      <c r="G308" s="58">
        <v>466488</v>
      </c>
      <c r="H308" s="69">
        <v>44588</v>
      </c>
      <c r="I308" s="58">
        <v>0.16</v>
      </c>
      <c r="J308" s="58">
        <v>2934376.38</v>
      </c>
    </row>
    <row r="309" spans="1:10" ht="15">
      <c r="A309" s="58" t="s">
        <v>748</v>
      </c>
      <c r="B309" s="58" t="s">
        <v>797</v>
      </c>
      <c r="C309" s="58" t="s">
        <v>795</v>
      </c>
      <c r="D309" s="58" t="s">
        <v>791</v>
      </c>
      <c r="E309" s="58">
        <v>3660898</v>
      </c>
      <c r="F309" s="58">
        <v>4</v>
      </c>
      <c r="G309" s="58">
        <v>153453</v>
      </c>
      <c r="H309" s="69">
        <v>44822</v>
      </c>
      <c r="I309" s="58">
        <v>0.25</v>
      </c>
      <c r="J309" s="58">
        <v>4189198.65</v>
      </c>
    </row>
    <row r="310" spans="1:10" ht="15">
      <c r="A310" s="58" t="s">
        <v>741</v>
      </c>
      <c r="B310" s="58" t="s">
        <v>814</v>
      </c>
      <c r="C310" s="58" t="s">
        <v>793</v>
      </c>
      <c r="D310" s="58" t="s">
        <v>813</v>
      </c>
      <c r="E310" s="58">
        <v>489847</v>
      </c>
      <c r="F310" s="58">
        <v>30</v>
      </c>
      <c r="G310" s="58">
        <v>24747</v>
      </c>
      <c r="H310" s="69">
        <v>44958</v>
      </c>
      <c r="I310" s="58">
        <v>0.47</v>
      </c>
      <c r="J310" s="58">
        <v>2249499.87</v>
      </c>
    </row>
    <row r="311" spans="1:10" ht="15">
      <c r="A311" s="58" t="s">
        <v>746</v>
      </c>
      <c r="B311" s="58" t="s">
        <v>814</v>
      </c>
      <c r="C311" s="58" t="s">
        <v>795</v>
      </c>
      <c r="D311" s="58" t="s">
        <v>796</v>
      </c>
      <c r="E311" s="58">
        <v>3244283</v>
      </c>
      <c r="F311" s="58">
        <v>28</v>
      </c>
      <c r="G311" s="58">
        <v>295129</v>
      </c>
      <c r="H311" s="69">
        <v>44582</v>
      </c>
      <c r="I311" s="58">
        <v>0.03</v>
      </c>
      <c r="J311" s="58">
        <v>1485504</v>
      </c>
    </row>
    <row r="312" spans="1:10" ht="15">
      <c r="A312" s="58" t="s">
        <v>745</v>
      </c>
      <c r="B312" s="58" t="s">
        <v>794</v>
      </c>
      <c r="C312" s="58" t="s">
        <v>809</v>
      </c>
      <c r="D312" s="58" t="s">
        <v>801</v>
      </c>
      <c r="E312" s="58">
        <v>746722</v>
      </c>
      <c r="F312" s="58">
        <v>48</v>
      </c>
      <c r="G312" s="58">
        <v>434737</v>
      </c>
      <c r="H312" s="69">
        <v>44931</v>
      </c>
      <c r="I312" s="58">
        <v>0.23</v>
      </c>
      <c r="J312" s="58">
        <v>34521.300000000003</v>
      </c>
    </row>
    <row r="313" spans="1:10" ht="15">
      <c r="A313" s="58" t="s">
        <v>740</v>
      </c>
      <c r="B313" s="58" t="s">
        <v>804</v>
      </c>
      <c r="C313" s="58" t="s">
        <v>795</v>
      </c>
      <c r="D313" s="58" t="s">
        <v>815</v>
      </c>
      <c r="E313" s="58">
        <v>2736233</v>
      </c>
      <c r="F313" s="58">
        <v>96</v>
      </c>
      <c r="G313" s="58">
        <v>489456</v>
      </c>
      <c r="H313" s="69">
        <v>45217</v>
      </c>
      <c r="I313" s="58">
        <v>0.41</v>
      </c>
      <c r="J313" s="58">
        <v>2313157.64</v>
      </c>
    </row>
    <row r="314" spans="1:10" ht="15">
      <c r="A314" s="58" t="s">
        <v>744</v>
      </c>
      <c r="B314" s="58" t="s">
        <v>809</v>
      </c>
      <c r="C314" s="58" t="s">
        <v>795</v>
      </c>
      <c r="D314" s="58" t="s">
        <v>815</v>
      </c>
      <c r="E314" s="58">
        <v>4598544</v>
      </c>
      <c r="F314" s="58">
        <v>35</v>
      </c>
      <c r="G314" s="58">
        <v>77841</v>
      </c>
      <c r="H314" s="69">
        <v>45632</v>
      </c>
      <c r="I314" s="58">
        <v>0.44</v>
      </c>
      <c r="J314" s="58">
        <v>158998.28</v>
      </c>
    </row>
    <row r="315" spans="1:10" ht="15">
      <c r="A315" s="58" t="s">
        <v>746</v>
      </c>
      <c r="B315" s="58" t="s">
        <v>802</v>
      </c>
      <c r="C315" s="58" t="s">
        <v>807</v>
      </c>
      <c r="D315" s="58" t="s">
        <v>805</v>
      </c>
      <c r="E315" s="58">
        <v>759785</v>
      </c>
      <c r="F315" s="58">
        <v>90</v>
      </c>
      <c r="G315" s="58">
        <v>498857</v>
      </c>
      <c r="H315" s="69">
        <v>44775</v>
      </c>
      <c r="I315" s="58">
        <v>0.38</v>
      </c>
      <c r="J315" s="58">
        <v>1169361.9199999999</v>
      </c>
    </row>
    <row r="316" spans="1:10" ht="15">
      <c r="A316" s="58" t="s">
        <v>747</v>
      </c>
      <c r="B316" s="58" t="s">
        <v>802</v>
      </c>
      <c r="C316" s="58" t="s">
        <v>788</v>
      </c>
      <c r="D316" s="58" t="s">
        <v>800</v>
      </c>
      <c r="E316" s="58">
        <v>3274706</v>
      </c>
      <c r="F316" s="58">
        <v>84</v>
      </c>
      <c r="G316" s="58">
        <v>20611</v>
      </c>
      <c r="H316" s="69">
        <v>44909</v>
      </c>
      <c r="I316" s="58">
        <v>0.47</v>
      </c>
      <c r="J316" s="58">
        <v>379232.28</v>
      </c>
    </row>
    <row r="317" spans="1:10" ht="15">
      <c r="A317" s="58" t="s">
        <v>748</v>
      </c>
      <c r="B317" s="58" t="s">
        <v>792</v>
      </c>
      <c r="C317" s="58" t="s">
        <v>798</v>
      </c>
      <c r="D317" s="58" t="s">
        <v>813</v>
      </c>
      <c r="E317" s="58">
        <v>1870899</v>
      </c>
      <c r="F317" s="58">
        <v>54</v>
      </c>
      <c r="G317" s="58">
        <v>297057</v>
      </c>
      <c r="H317" s="69">
        <v>45425</v>
      </c>
      <c r="I317" s="58">
        <v>0.01</v>
      </c>
      <c r="J317" s="58">
        <v>877210.72</v>
      </c>
    </row>
    <row r="318" spans="1:10" ht="15">
      <c r="A318" s="58" t="s">
        <v>748</v>
      </c>
      <c r="B318" s="58" t="s">
        <v>787</v>
      </c>
      <c r="C318" s="58" t="s">
        <v>793</v>
      </c>
      <c r="D318" s="58" t="s">
        <v>812</v>
      </c>
      <c r="E318" s="58">
        <v>537485</v>
      </c>
      <c r="F318" s="58">
        <v>21</v>
      </c>
      <c r="G318" s="58">
        <v>224636</v>
      </c>
      <c r="H318" s="69">
        <v>44879</v>
      </c>
      <c r="I318" s="58">
        <v>0.35</v>
      </c>
      <c r="J318" s="58">
        <v>3253062.75</v>
      </c>
    </row>
    <row r="319" spans="1:10" ht="15">
      <c r="A319" s="58" t="s">
        <v>745</v>
      </c>
      <c r="B319" s="58" t="s">
        <v>808</v>
      </c>
      <c r="C319" s="58" t="s">
        <v>795</v>
      </c>
      <c r="D319" s="58" t="s">
        <v>805</v>
      </c>
      <c r="E319" s="58">
        <v>385469</v>
      </c>
      <c r="F319" s="58">
        <v>7</v>
      </c>
      <c r="G319" s="58">
        <v>322664</v>
      </c>
      <c r="H319" s="69">
        <v>44671</v>
      </c>
      <c r="I319" s="58">
        <v>0.14000000000000001</v>
      </c>
      <c r="J319" s="58">
        <v>2033938.24</v>
      </c>
    </row>
    <row r="320" spans="1:10" ht="15">
      <c r="A320" s="58" t="s">
        <v>745</v>
      </c>
      <c r="B320" s="58" t="s">
        <v>802</v>
      </c>
      <c r="C320" s="58" t="s">
        <v>798</v>
      </c>
      <c r="D320" s="58" t="s">
        <v>806</v>
      </c>
      <c r="E320" s="58">
        <v>2657080</v>
      </c>
      <c r="F320" s="58">
        <v>50</v>
      </c>
      <c r="G320" s="58">
        <v>77636</v>
      </c>
      <c r="H320" s="69">
        <v>44936</v>
      </c>
      <c r="I320" s="58">
        <v>0.23</v>
      </c>
      <c r="J320" s="58">
        <v>845321.76</v>
      </c>
    </row>
    <row r="321" spans="1:10" ht="15">
      <c r="A321" s="58" t="s">
        <v>741</v>
      </c>
      <c r="B321" s="58" t="s">
        <v>802</v>
      </c>
      <c r="C321" s="58" t="s">
        <v>793</v>
      </c>
      <c r="D321" s="58" t="s">
        <v>801</v>
      </c>
      <c r="E321" s="58">
        <v>3348089</v>
      </c>
      <c r="F321" s="58">
        <v>98</v>
      </c>
      <c r="G321" s="58">
        <v>319338</v>
      </c>
      <c r="H321" s="69">
        <v>45142</v>
      </c>
      <c r="I321" s="58">
        <v>0.08</v>
      </c>
      <c r="J321" s="58">
        <v>2036934.9</v>
      </c>
    </row>
    <row r="322" spans="1:10" ht="15">
      <c r="A322" s="58" t="s">
        <v>744</v>
      </c>
      <c r="B322" s="58" t="s">
        <v>794</v>
      </c>
      <c r="C322" s="58" t="s">
        <v>793</v>
      </c>
      <c r="D322" s="58" t="s">
        <v>806</v>
      </c>
      <c r="E322" s="58">
        <v>2138156</v>
      </c>
      <c r="F322" s="58">
        <v>74</v>
      </c>
      <c r="G322" s="58">
        <v>346644</v>
      </c>
      <c r="H322" s="69">
        <v>45638</v>
      </c>
      <c r="I322" s="58">
        <v>0.17</v>
      </c>
      <c r="J322" s="58">
        <v>989165.26</v>
      </c>
    </row>
    <row r="323" spans="1:10" ht="15">
      <c r="A323" s="58" t="s">
        <v>740</v>
      </c>
      <c r="B323" s="58" t="s">
        <v>797</v>
      </c>
      <c r="C323" s="58" t="s">
        <v>799</v>
      </c>
      <c r="D323" s="58" t="s">
        <v>815</v>
      </c>
      <c r="E323" s="58">
        <v>1485190</v>
      </c>
      <c r="F323" s="58">
        <v>70</v>
      </c>
      <c r="G323" s="58">
        <v>387119</v>
      </c>
      <c r="H323" s="69">
        <v>45590</v>
      </c>
      <c r="I323" s="58">
        <v>0.27</v>
      </c>
      <c r="J323" s="58">
        <v>4228869.5999999996</v>
      </c>
    </row>
    <row r="324" spans="1:10" ht="15">
      <c r="A324" s="58" t="s">
        <v>746</v>
      </c>
      <c r="B324" s="58" t="s">
        <v>804</v>
      </c>
      <c r="C324" s="58" t="s">
        <v>799</v>
      </c>
      <c r="D324" s="58" t="s">
        <v>813</v>
      </c>
      <c r="E324" s="58">
        <v>4121273</v>
      </c>
      <c r="F324" s="58">
        <v>27</v>
      </c>
      <c r="G324" s="58">
        <v>226586</v>
      </c>
      <c r="H324" s="69">
        <v>44912</v>
      </c>
      <c r="I324" s="58">
        <v>0.39</v>
      </c>
      <c r="J324" s="58">
        <v>2873149.06</v>
      </c>
    </row>
    <row r="325" spans="1:10" ht="15">
      <c r="A325" s="58" t="s">
        <v>746</v>
      </c>
      <c r="B325" s="58" t="s">
        <v>804</v>
      </c>
      <c r="C325" s="58" t="s">
        <v>809</v>
      </c>
      <c r="D325" s="58" t="s">
        <v>789</v>
      </c>
      <c r="E325" s="58">
        <v>2363541</v>
      </c>
      <c r="F325" s="58">
        <v>39</v>
      </c>
      <c r="G325" s="58">
        <v>496710</v>
      </c>
      <c r="H325" s="69">
        <v>45354</v>
      </c>
      <c r="I325" s="58">
        <v>0.26</v>
      </c>
      <c r="J325" s="58">
        <v>2431150.5</v>
      </c>
    </row>
    <row r="326" spans="1:10" ht="15">
      <c r="A326" s="58" t="s">
        <v>747</v>
      </c>
      <c r="B326" s="58" t="s">
        <v>792</v>
      </c>
      <c r="C326" s="58" t="s">
        <v>788</v>
      </c>
      <c r="D326" s="58" t="s">
        <v>812</v>
      </c>
      <c r="E326" s="58">
        <v>231321</v>
      </c>
      <c r="F326" s="58">
        <v>73</v>
      </c>
      <c r="G326" s="58">
        <v>464442</v>
      </c>
      <c r="H326" s="69">
        <v>44572</v>
      </c>
      <c r="I326" s="58">
        <v>0.27</v>
      </c>
      <c r="J326" s="58">
        <v>880963.02</v>
      </c>
    </row>
    <row r="327" spans="1:10" ht="15">
      <c r="A327" s="58" t="s">
        <v>740</v>
      </c>
      <c r="B327" s="58" t="s">
        <v>794</v>
      </c>
      <c r="C327" s="58" t="s">
        <v>807</v>
      </c>
      <c r="D327" s="58" t="s">
        <v>796</v>
      </c>
      <c r="E327" s="58">
        <v>2199554</v>
      </c>
      <c r="F327" s="58">
        <v>10</v>
      </c>
      <c r="G327" s="58">
        <v>162079</v>
      </c>
      <c r="H327" s="69">
        <v>45146</v>
      </c>
      <c r="I327" s="58">
        <v>0.16</v>
      </c>
      <c r="J327" s="58">
        <v>1883764.79</v>
      </c>
    </row>
    <row r="328" spans="1:10" ht="15">
      <c r="A328" s="58" t="s">
        <v>741</v>
      </c>
      <c r="B328" s="58" t="s">
        <v>809</v>
      </c>
      <c r="C328" s="58" t="s">
        <v>795</v>
      </c>
      <c r="D328" s="58" t="s">
        <v>810</v>
      </c>
      <c r="E328" s="58">
        <v>2223088</v>
      </c>
      <c r="F328" s="58">
        <v>83</v>
      </c>
      <c r="G328" s="58">
        <v>75788</v>
      </c>
      <c r="H328" s="69">
        <v>45135</v>
      </c>
      <c r="I328" s="58">
        <v>0.01</v>
      </c>
      <c r="J328" s="58">
        <v>4253729.3600000003</v>
      </c>
    </row>
    <row r="329" spans="1:10" ht="15">
      <c r="A329" s="58" t="s">
        <v>743</v>
      </c>
      <c r="B329" s="58" t="s">
        <v>804</v>
      </c>
      <c r="C329" s="58" t="s">
        <v>788</v>
      </c>
      <c r="D329" s="58" t="s">
        <v>800</v>
      </c>
      <c r="E329" s="58">
        <v>2816974</v>
      </c>
      <c r="F329" s="58">
        <v>79</v>
      </c>
      <c r="G329" s="58">
        <v>311875</v>
      </c>
      <c r="H329" s="69">
        <v>45261</v>
      </c>
      <c r="I329" s="58">
        <v>0.04</v>
      </c>
      <c r="J329" s="58">
        <v>3392297.05</v>
      </c>
    </row>
    <row r="330" spans="1:10" ht="15">
      <c r="A330" s="58" t="s">
        <v>745</v>
      </c>
      <c r="B330" s="58" t="s">
        <v>809</v>
      </c>
      <c r="C330" s="58" t="s">
        <v>807</v>
      </c>
      <c r="D330" s="58" t="s">
        <v>791</v>
      </c>
      <c r="E330" s="58">
        <v>3690464</v>
      </c>
      <c r="F330" s="58">
        <v>9</v>
      </c>
      <c r="G330" s="58">
        <v>426880</v>
      </c>
      <c r="H330" s="69">
        <v>44566</v>
      </c>
      <c r="I330" s="58">
        <v>0.13</v>
      </c>
      <c r="J330" s="58">
        <v>1002377.22</v>
      </c>
    </row>
    <row r="331" spans="1:10" ht="15">
      <c r="A331" s="58" t="s">
        <v>744</v>
      </c>
      <c r="B331" s="58" t="s">
        <v>808</v>
      </c>
      <c r="C331" s="58" t="s">
        <v>795</v>
      </c>
      <c r="D331" s="58" t="s">
        <v>801</v>
      </c>
      <c r="E331" s="58">
        <v>3263366</v>
      </c>
      <c r="F331" s="58">
        <v>55</v>
      </c>
      <c r="G331" s="58">
        <v>149724</v>
      </c>
      <c r="H331" s="69">
        <v>44693</v>
      </c>
      <c r="I331" s="58">
        <v>0.46</v>
      </c>
      <c r="J331" s="58">
        <v>3857363.51</v>
      </c>
    </row>
    <row r="332" spans="1:10" ht="15">
      <c r="A332" s="58" t="s">
        <v>740</v>
      </c>
      <c r="B332" s="58" t="s">
        <v>804</v>
      </c>
      <c r="C332" s="58" t="s">
        <v>788</v>
      </c>
      <c r="D332" s="58" t="s">
        <v>801</v>
      </c>
      <c r="E332" s="58">
        <v>4208721</v>
      </c>
      <c r="F332" s="58">
        <v>55</v>
      </c>
      <c r="G332" s="58">
        <v>356726</v>
      </c>
      <c r="H332" s="69">
        <v>45513</v>
      </c>
      <c r="I332" s="58">
        <v>0.16</v>
      </c>
      <c r="J332" s="58">
        <v>2744712.2</v>
      </c>
    </row>
    <row r="333" spans="1:10" ht="15">
      <c r="A333" s="58" t="s">
        <v>747</v>
      </c>
      <c r="B333" s="58" t="s">
        <v>804</v>
      </c>
      <c r="C333" s="58" t="s">
        <v>807</v>
      </c>
      <c r="D333" s="58" t="s">
        <v>803</v>
      </c>
      <c r="E333" s="58">
        <v>845611</v>
      </c>
      <c r="F333" s="58">
        <v>64</v>
      </c>
      <c r="G333" s="58">
        <v>213845</v>
      </c>
      <c r="H333" s="69">
        <v>44753</v>
      </c>
      <c r="I333" s="58">
        <v>0.09</v>
      </c>
      <c r="J333" s="58">
        <v>2177369.91</v>
      </c>
    </row>
    <row r="334" spans="1:10" ht="15">
      <c r="A334" s="58" t="s">
        <v>747</v>
      </c>
      <c r="B334" s="58" t="s">
        <v>804</v>
      </c>
      <c r="C334" s="58" t="s">
        <v>809</v>
      </c>
      <c r="D334" s="58" t="s">
        <v>805</v>
      </c>
      <c r="E334" s="58">
        <v>2101114</v>
      </c>
      <c r="F334" s="58">
        <v>29</v>
      </c>
      <c r="G334" s="58">
        <v>137870</v>
      </c>
      <c r="H334" s="69">
        <v>45318</v>
      </c>
      <c r="I334" s="58">
        <v>0.25</v>
      </c>
      <c r="J334" s="58">
        <v>2390835</v>
      </c>
    </row>
    <row r="335" spans="1:10" ht="15">
      <c r="A335" s="58" t="s">
        <v>746</v>
      </c>
      <c r="B335" s="58" t="s">
        <v>792</v>
      </c>
      <c r="C335" s="58" t="s">
        <v>799</v>
      </c>
      <c r="D335" s="58" t="s">
        <v>810</v>
      </c>
      <c r="E335" s="58">
        <v>2281545</v>
      </c>
      <c r="F335" s="58">
        <v>28</v>
      </c>
      <c r="G335" s="58">
        <v>253901</v>
      </c>
      <c r="H335" s="69">
        <v>45148</v>
      </c>
      <c r="I335" s="58">
        <v>0.11</v>
      </c>
      <c r="J335" s="58">
        <v>1355202.8</v>
      </c>
    </row>
    <row r="336" spans="1:10" ht="15">
      <c r="A336" s="58" t="s">
        <v>740</v>
      </c>
      <c r="B336" s="58" t="s">
        <v>808</v>
      </c>
      <c r="C336" s="58" t="s">
        <v>798</v>
      </c>
      <c r="D336" s="58" t="s">
        <v>806</v>
      </c>
      <c r="E336" s="58">
        <v>3545964</v>
      </c>
      <c r="F336" s="58">
        <v>94</v>
      </c>
      <c r="G336" s="58">
        <v>67345</v>
      </c>
      <c r="H336" s="69">
        <v>44844</v>
      </c>
      <c r="I336" s="58">
        <v>0.03</v>
      </c>
      <c r="J336" s="58">
        <v>4663433.6100000003</v>
      </c>
    </row>
    <row r="337" spans="1:10" ht="15">
      <c r="A337" s="58" t="s">
        <v>747</v>
      </c>
      <c r="B337" s="58" t="s">
        <v>802</v>
      </c>
      <c r="C337" s="58" t="s">
        <v>798</v>
      </c>
      <c r="D337" s="58" t="s">
        <v>801</v>
      </c>
      <c r="E337" s="58">
        <v>171477</v>
      </c>
      <c r="F337" s="58">
        <v>18</v>
      </c>
      <c r="G337" s="58">
        <v>56011</v>
      </c>
      <c r="H337" s="69">
        <v>44638</v>
      </c>
      <c r="I337" s="58">
        <v>0.37</v>
      </c>
      <c r="J337" s="58">
        <v>521684.46</v>
      </c>
    </row>
    <row r="338" spans="1:10" ht="15">
      <c r="A338" s="58" t="s">
        <v>740</v>
      </c>
      <c r="B338" s="58" t="s">
        <v>814</v>
      </c>
      <c r="C338" s="58" t="s">
        <v>807</v>
      </c>
      <c r="D338" s="58" t="s">
        <v>805</v>
      </c>
      <c r="E338" s="58">
        <v>3216730</v>
      </c>
      <c r="F338" s="58">
        <v>68</v>
      </c>
      <c r="G338" s="58">
        <v>455677</v>
      </c>
      <c r="H338" s="69">
        <v>44976</v>
      </c>
      <c r="I338" s="58">
        <v>0.4</v>
      </c>
      <c r="J338" s="58">
        <v>362611.6</v>
      </c>
    </row>
    <row r="339" spans="1:10" ht="15">
      <c r="A339" s="58" t="s">
        <v>742</v>
      </c>
      <c r="B339" s="58" t="s">
        <v>809</v>
      </c>
      <c r="C339" s="58" t="s">
        <v>793</v>
      </c>
      <c r="D339" s="58" t="s">
        <v>811</v>
      </c>
      <c r="E339" s="58">
        <v>1973851</v>
      </c>
      <c r="F339" s="58">
        <v>84</v>
      </c>
      <c r="G339" s="58">
        <v>177949</v>
      </c>
      <c r="H339" s="69">
        <v>45240</v>
      </c>
      <c r="I339" s="58">
        <v>0.18</v>
      </c>
      <c r="J339" s="58">
        <v>1363031.61</v>
      </c>
    </row>
    <row r="340" spans="1:10" ht="15">
      <c r="A340" s="58" t="s">
        <v>746</v>
      </c>
      <c r="B340" s="58" t="s">
        <v>787</v>
      </c>
      <c r="C340" s="58" t="s">
        <v>799</v>
      </c>
      <c r="D340" s="58" t="s">
        <v>810</v>
      </c>
      <c r="E340" s="58">
        <v>3688184</v>
      </c>
      <c r="F340" s="58">
        <v>85</v>
      </c>
      <c r="G340" s="58">
        <v>121004</v>
      </c>
      <c r="H340" s="69">
        <v>45450</v>
      </c>
      <c r="I340" s="58">
        <v>0.26</v>
      </c>
      <c r="J340" s="58">
        <v>2307099.34</v>
      </c>
    </row>
    <row r="341" spans="1:10" ht="15">
      <c r="A341" s="58" t="s">
        <v>747</v>
      </c>
      <c r="B341" s="58" t="s">
        <v>802</v>
      </c>
      <c r="C341" s="58" t="s">
        <v>795</v>
      </c>
      <c r="D341" s="58" t="s">
        <v>810</v>
      </c>
      <c r="E341" s="58">
        <v>2775404</v>
      </c>
      <c r="F341" s="58">
        <v>96</v>
      </c>
      <c r="G341" s="58">
        <v>75728</v>
      </c>
      <c r="H341" s="69">
        <v>44777</v>
      </c>
      <c r="I341" s="58">
        <v>0.41</v>
      </c>
      <c r="J341" s="58">
        <v>481456.5</v>
      </c>
    </row>
    <row r="342" spans="1:10" ht="15">
      <c r="A342" s="58" t="s">
        <v>742</v>
      </c>
      <c r="B342" s="58" t="s">
        <v>804</v>
      </c>
      <c r="C342" s="58" t="s">
        <v>799</v>
      </c>
      <c r="D342" s="58" t="s">
        <v>806</v>
      </c>
      <c r="E342" s="58">
        <v>3098783</v>
      </c>
      <c r="F342" s="58">
        <v>6</v>
      </c>
      <c r="G342" s="58">
        <v>216955</v>
      </c>
      <c r="H342" s="69">
        <v>45070</v>
      </c>
      <c r="I342" s="58">
        <v>0.19</v>
      </c>
      <c r="J342" s="58">
        <v>2166460.92</v>
      </c>
    </row>
    <row r="343" spans="1:10" ht="15">
      <c r="A343" s="58" t="s">
        <v>745</v>
      </c>
      <c r="B343" s="58" t="s">
        <v>787</v>
      </c>
      <c r="C343" s="58" t="s">
        <v>793</v>
      </c>
      <c r="D343" s="58" t="s">
        <v>789</v>
      </c>
      <c r="E343" s="58">
        <v>1142727</v>
      </c>
      <c r="F343" s="58">
        <v>58</v>
      </c>
      <c r="G343" s="58">
        <v>244187</v>
      </c>
      <c r="H343" s="69">
        <v>44813</v>
      </c>
      <c r="I343" s="58">
        <v>0.13</v>
      </c>
      <c r="J343" s="58">
        <v>2293314.02</v>
      </c>
    </row>
    <row r="344" spans="1:10" ht="15">
      <c r="A344" s="58" t="s">
        <v>749</v>
      </c>
      <c r="B344" s="58" t="s">
        <v>802</v>
      </c>
      <c r="C344" s="58" t="s">
        <v>809</v>
      </c>
      <c r="D344" s="58" t="s">
        <v>791</v>
      </c>
      <c r="E344" s="58">
        <v>3386415</v>
      </c>
      <c r="F344" s="58">
        <v>66</v>
      </c>
      <c r="G344" s="58">
        <v>97321</v>
      </c>
      <c r="H344" s="69">
        <v>45274</v>
      </c>
      <c r="I344" s="58">
        <v>0.49</v>
      </c>
      <c r="J344" s="58">
        <v>3210636.63</v>
      </c>
    </row>
    <row r="345" spans="1:10" ht="15">
      <c r="A345" s="58" t="s">
        <v>741</v>
      </c>
      <c r="B345" s="58" t="s">
        <v>787</v>
      </c>
      <c r="C345" s="58" t="s">
        <v>788</v>
      </c>
      <c r="D345" s="58" t="s">
        <v>796</v>
      </c>
      <c r="E345" s="58">
        <v>679871</v>
      </c>
      <c r="F345" s="58">
        <v>15</v>
      </c>
      <c r="G345" s="58">
        <v>139026</v>
      </c>
      <c r="H345" s="69">
        <v>45357</v>
      </c>
      <c r="I345" s="58">
        <v>0.03</v>
      </c>
      <c r="J345" s="58">
        <v>2250669.2599999998</v>
      </c>
    </row>
    <row r="346" spans="1:10" ht="15">
      <c r="A346" s="58" t="s">
        <v>745</v>
      </c>
      <c r="B346" s="58" t="s">
        <v>809</v>
      </c>
      <c r="C346" s="58" t="s">
        <v>809</v>
      </c>
      <c r="D346" s="58" t="s">
        <v>812</v>
      </c>
      <c r="E346" s="58">
        <v>4161705</v>
      </c>
      <c r="F346" s="58">
        <v>64</v>
      </c>
      <c r="G346" s="58">
        <v>37821</v>
      </c>
      <c r="H346" s="69">
        <v>45571</v>
      </c>
      <c r="I346" s="58">
        <v>0.35</v>
      </c>
      <c r="J346" s="58">
        <v>826502.62</v>
      </c>
    </row>
    <row r="347" spans="1:10" ht="15">
      <c r="A347" s="58" t="s">
        <v>745</v>
      </c>
      <c r="B347" s="58" t="s">
        <v>792</v>
      </c>
      <c r="C347" s="58" t="s">
        <v>809</v>
      </c>
      <c r="D347" s="58" t="s">
        <v>810</v>
      </c>
      <c r="E347" s="58">
        <v>4096044</v>
      </c>
      <c r="F347" s="58">
        <v>76</v>
      </c>
      <c r="G347" s="58">
        <v>63773</v>
      </c>
      <c r="H347" s="69">
        <v>44563</v>
      </c>
      <c r="I347" s="58">
        <v>0.19</v>
      </c>
      <c r="J347" s="58">
        <v>1505591.84</v>
      </c>
    </row>
    <row r="348" spans="1:10" ht="15">
      <c r="A348" s="58" t="s">
        <v>744</v>
      </c>
      <c r="B348" s="58" t="s">
        <v>808</v>
      </c>
      <c r="C348" s="58" t="s">
        <v>799</v>
      </c>
      <c r="D348" s="58" t="s">
        <v>810</v>
      </c>
      <c r="E348" s="58">
        <v>3487479</v>
      </c>
      <c r="F348" s="58">
        <v>33</v>
      </c>
      <c r="G348" s="58">
        <v>209497</v>
      </c>
      <c r="H348" s="69">
        <v>45026</v>
      </c>
      <c r="I348" s="58">
        <v>0.01</v>
      </c>
      <c r="J348" s="58">
        <v>1066229.3999999999</v>
      </c>
    </row>
    <row r="349" spans="1:10" ht="15">
      <c r="A349" s="58" t="s">
        <v>745</v>
      </c>
      <c r="B349" s="58" t="s">
        <v>792</v>
      </c>
      <c r="C349" s="58" t="s">
        <v>799</v>
      </c>
      <c r="D349" s="58" t="s">
        <v>789</v>
      </c>
      <c r="E349" s="58">
        <v>2470150</v>
      </c>
      <c r="F349" s="58">
        <v>40</v>
      </c>
      <c r="G349" s="58">
        <v>473506</v>
      </c>
      <c r="H349" s="69">
        <v>44905</v>
      </c>
      <c r="I349" s="58">
        <v>0.13</v>
      </c>
      <c r="J349" s="58">
        <v>2197660.9</v>
      </c>
    </row>
    <row r="350" spans="1:10" ht="15">
      <c r="A350" s="58" t="s">
        <v>740</v>
      </c>
      <c r="B350" s="58" t="s">
        <v>787</v>
      </c>
      <c r="C350" s="58" t="s">
        <v>798</v>
      </c>
      <c r="D350" s="58" t="s">
        <v>812</v>
      </c>
      <c r="E350" s="58">
        <v>4275359</v>
      </c>
      <c r="F350" s="58">
        <v>69</v>
      </c>
      <c r="G350" s="58">
        <v>484967</v>
      </c>
      <c r="H350" s="69">
        <v>45056</v>
      </c>
      <c r="I350" s="58">
        <v>0.04</v>
      </c>
      <c r="J350" s="58">
        <v>569821.15</v>
      </c>
    </row>
    <row r="351" spans="1:10" ht="15">
      <c r="A351" s="58" t="s">
        <v>742</v>
      </c>
      <c r="B351" s="58" t="s">
        <v>790</v>
      </c>
      <c r="C351" s="58" t="s">
        <v>809</v>
      </c>
      <c r="D351" s="58" t="s">
        <v>810</v>
      </c>
      <c r="E351" s="58">
        <v>307811</v>
      </c>
      <c r="F351" s="58">
        <v>39</v>
      </c>
      <c r="G351" s="58">
        <v>46824</v>
      </c>
      <c r="H351" s="69">
        <v>44768</v>
      </c>
      <c r="I351" s="58">
        <v>0.33</v>
      </c>
      <c r="J351" s="58">
        <v>550851.36</v>
      </c>
    </row>
    <row r="352" spans="1:10" ht="15">
      <c r="A352" s="58" t="s">
        <v>746</v>
      </c>
      <c r="B352" s="58" t="s">
        <v>808</v>
      </c>
      <c r="C352" s="58" t="s">
        <v>807</v>
      </c>
      <c r="D352" s="58" t="s">
        <v>813</v>
      </c>
      <c r="E352" s="58">
        <v>4093408</v>
      </c>
      <c r="F352" s="58">
        <v>75</v>
      </c>
      <c r="G352" s="58">
        <v>247128</v>
      </c>
      <c r="H352" s="69">
        <v>44740</v>
      </c>
      <c r="I352" s="58">
        <v>0.36</v>
      </c>
      <c r="J352" s="58">
        <v>1923870.96</v>
      </c>
    </row>
    <row r="353" spans="1:10" ht="15">
      <c r="A353" s="58" t="s">
        <v>740</v>
      </c>
      <c r="B353" s="58" t="s">
        <v>797</v>
      </c>
      <c r="C353" s="58" t="s">
        <v>793</v>
      </c>
      <c r="D353" s="58" t="s">
        <v>800</v>
      </c>
      <c r="E353" s="58">
        <v>2855395</v>
      </c>
      <c r="F353" s="58">
        <v>78</v>
      </c>
      <c r="G353" s="58">
        <v>490057</v>
      </c>
      <c r="H353" s="69">
        <v>45174</v>
      </c>
      <c r="I353" s="58">
        <v>0.35</v>
      </c>
      <c r="J353" s="58">
        <v>2395228.4700000002</v>
      </c>
    </row>
    <row r="354" spans="1:10" ht="15">
      <c r="A354" s="58" t="s">
        <v>747</v>
      </c>
      <c r="B354" s="58" t="s">
        <v>797</v>
      </c>
      <c r="C354" s="58" t="s">
        <v>809</v>
      </c>
      <c r="D354" s="58" t="s">
        <v>805</v>
      </c>
      <c r="E354" s="58">
        <v>2412550</v>
      </c>
      <c r="F354" s="58">
        <v>94</v>
      </c>
      <c r="G354" s="58">
        <v>172918</v>
      </c>
      <c r="H354" s="69">
        <v>44916</v>
      </c>
      <c r="I354" s="58">
        <v>0.14000000000000001</v>
      </c>
      <c r="J354" s="58">
        <v>1061941.92</v>
      </c>
    </row>
    <row r="355" spans="1:10" ht="15">
      <c r="A355" s="58" t="s">
        <v>742</v>
      </c>
      <c r="B355" s="58" t="s">
        <v>802</v>
      </c>
      <c r="C355" s="58" t="s">
        <v>788</v>
      </c>
      <c r="D355" s="58" t="s">
        <v>801</v>
      </c>
      <c r="E355" s="58">
        <v>3872723</v>
      </c>
      <c r="F355" s="58">
        <v>1</v>
      </c>
      <c r="G355" s="58">
        <v>400159</v>
      </c>
      <c r="H355" s="69">
        <v>45171</v>
      </c>
      <c r="I355" s="58">
        <v>0.28000000000000003</v>
      </c>
      <c r="J355" s="58">
        <v>1334006.67</v>
      </c>
    </row>
    <row r="356" spans="1:10" ht="15">
      <c r="A356" s="58" t="s">
        <v>748</v>
      </c>
      <c r="B356" s="58" t="s">
        <v>809</v>
      </c>
      <c r="C356" s="58" t="s">
        <v>809</v>
      </c>
      <c r="D356" s="58" t="s">
        <v>810</v>
      </c>
      <c r="E356" s="58">
        <v>4609292</v>
      </c>
      <c r="F356" s="58">
        <v>1</v>
      </c>
      <c r="G356" s="58">
        <v>282751</v>
      </c>
      <c r="H356" s="69">
        <v>44786</v>
      </c>
      <c r="I356" s="58">
        <v>0.11</v>
      </c>
      <c r="J356" s="58">
        <v>2764962.2</v>
      </c>
    </row>
    <row r="357" spans="1:10" ht="15">
      <c r="A357" s="58" t="s">
        <v>748</v>
      </c>
      <c r="B357" s="58" t="s">
        <v>804</v>
      </c>
      <c r="C357" s="58" t="s">
        <v>795</v>
      </c>
      <c r="D357" s="58" t="s">
        <v>805</v>
      </c>
      <c r="E357" s="58">
        <v>3502414</v>
      </c>
      <c r="F357" s="58">
        <v>78</v>
      </c>
      <c r="G357" s="58">
        <v>99911</v>
      </c>
      <c r="H357" s="69">
        <v>45287</v>
      </c>
      <c r="I357" s="58">
        <v>0.48</v>
      </c>
      <c r="J357" s="58">
        <v>1526029.92</v>
      </c>
    </row>
    <row r="358" spans="1:10" ht="15">
      <c r="A358" s="58" t="s">
        <v>749</v>
      </c>
      <c r="B358" s="58" t="s">
        <v>804</v>
      </c>
      <c r="C358" s="58" t="s">
        <v>799</v>
      </c>
      <c r="D358" s="58" t="s">
        <v>812</v>
      </c>
      <c r="E358" s="58">
        <v>3664373</v>
      </c>
      <c r="F358" s="58">
        <v>22</v>
      </c>
      <c r="G358" s="58">
        <v>356062</v>
      </c>
      <c r="H358" s="69">
        <v>44830</v>
      </c>
      <c r="I358" s="58">
        <v>0.17</v>
      </c>
      <c r="J358" s="58">
        <v>4061198.96</v>
      </c>
    </row>
    <row r="359" spans="1:10" ht="15">
      <c r="A359" s="58" t="s">
        <v>742</v>
      </c>
      <c r="B359" s="58" t="s">
        <v>802</v>
      </c>
      <c r="C359" s="58" t="s">
        <v>798</v>
      </c>
      <c r="D359" s="58" t="s">
        <v>796</v>
      </c>
      <c r="E359" s="58">
        <v>556040</v>
      </c>
      <c r="F359" s="58">
        <v>17</v>
      </c>
      <c r="G359" s="58">
        <v>396659</v>
      </c>
      <c r="H359" s="69">
        <v>45098</v>
      </c>
      <c r="I359" s="58">
        <v>0.02</v>
      </c>
      <c r="J359" s="58">
        <v>2432241.7599999998</v>
      </c>
    </row>
    <row r="360" spans="1:10" ht="15">
      <c r="A360" s="58" t="s">
        <v>740</v>
      </c>
      <c r="B360" s="58" t="s">
        <v>809</v>
      </c>
      <c r="C360" s="58" t="s">
        <v>798</v>
      </c>
      <c r="D360" s="58" t="s">
        <v>791</v>
      </c>
      <c r="E360" s="58">
        <v>44075</v>
      </c>
      <c r="F360" s="58">
        <v>80</v>
      </c>
      <c r="G360" s="58">
        <v>24688</v>
      </c>
      <c r="H360" s="69">
        <v>44899</v>
      </c>
      <c r="I360" s="58">
        <v>0.41</v>
      </c>
      <c r="J360" s="58">
        <v>3695464.08</v>
      </c>
    </row>
    <row r="361" spans="1:10" ht="15">
      <c r="A361" s="58" t="s">
        <v>744</v>
      </c>
      <c r="B361" s="58" t="s">
        <v>814</v>
      </c>
      <c r="C361" s="58" t="s">
        <v>798</v>
      </c>
      <c r="D361" s="58" t="s">
        <v>812</v>
      </c>
      <c r="E361" s="58">
        <v>4572955</v>
      </c>
      <c r="F361" s="58">
        <v>19</v>
      </c>
      <c r="G361" s="58">
        <v>491150</v>
      </c>
      <c r="H361" s="69">
        <v>45532</v>
      </c>
      <c r="I361" s="58">
        <v>0.11</v>
      </c>
      <c r="J361" s="58">
        <v>2158056.48</v>
      </c>
    </row>
    <row r="362" spans="1:10" ht="15">
      <c r="A362" s="58" t="s">
        <v>744</v>
      </c>
      <c r="B362" s="58" t="s">
        <v>814</v>
      </c>
      <c r="C362" s="58" t="s">
        <v>788</v>
      </c>
      <c r="D362" s="58" t="s">
        <v>805</v>
      </c>
      <c r="E362" s="58">
        <v>3303394</v>
      </c>
      <c r="F362" s="58">
        <v>5</v>
      </c>
      <c r="G362" s="58">
        <v>151449</v>
      </c>
      <c r="H362" s="69">
        <v>44849</v>
      </c>
      <c r="I362" s="58">
        <v>0.42</v>
      </c>
      <c r="J362" s="58">
        <v>4211432</v>
      </c>
    </row>
    <row r="363" spans="1:10" ht="15">
      <c r="A363" s="58" t="s">
        <v>740</v>
      </c>
      <c r="B363" s="58" t="s">
        <v>797</v>
      </c>
      <c r="C363" s="58" t="s">
        <v>799</v>
      </c>
      <c r="D363" s="58" t="s">
        <v>796</v>
      </c>
      <c r="E363" s="58">
        <v>3858322</v>
      </c>
      <c r="F363" s="58">
        <v>73</v>
      </c>
      <c r="G363" s="58">
        <v>294174</v>
      </c>
      <c r="H363" s="69">
        <v>45576</v>
      </c>
      <c r="I363" s="58">
        <v>0.38</v>
      </c>
      <c r="J363" s="58">
        <v>4483848.88</v>
      </c>
    </row>
    <row r="364" spans="1:10" ht="15">
      <c r="A364" s="58" t="s">
        <v>743</v>
      </c>
      <c r="B364" s="58" t="s">
        <v>802</v>
      </c>
      <c r="C364" s="58" t="s">
        <v>795</v>
      </c>
      <c r="D364" s="58" t="s">
        <v>806</v>
      </c>
      <c r="E364" s="58">
        <v>626533</v>
      </c>
      <c r="F364" s="58">
        <v>29</v>
      </c>
      <c r="G364" s="58">
        <v>445813</v>
      </c>
      <c r="H364" s="69">
        <v>45637</v>
      </c>
      <c r="I364" s="58">
        <v>0.23</v>
      </c>
      <c r="J364" s="58">
        <v>883844.94</v>
      </c>
    </row>
    <row r="365" spans="1:10" ht="15">
      <c r="A365" s="58" t="s">
        <v>740</v>
      </c>
      <c r="B365" s="58" t="s">
        <v>804</v>
      </c>
      <c r="C365" s="58" t="s">
        <v>788</v>
      </c>
      <c r="D365" s="58" t="s">
        <v>789</v>
      </c>
      <c r="E365" s="58">
        <v>656087</v>
      </c>
      <c r="F365" s="58">
        <v>24</v>
      </c>
      <c r="G365" s="58">
        <v>135032</v>
      </c>
      <c r="H365" s="69">
        <v>44642</v>
      </c>
      <c r="I365" s="58">
        <v>0.08</v>
      </c>
      <c r="J365" s="58">
        <v>1001404.22</v>
      </c>
    </row>
    <row r="366" spans="1:10" ht="15">
      <c r="A366" s="58" t="s">
        <v>740</v>
      </c>
      <c r="B366" s="58" t="s">
        <v>797</v>
      </c>
      <c r="C366" s="58" t="s">
        <v>795</v>
      </c>
      <c r="D366" s="58" t="s">
        <v>811</v>
      </c>
      <c r="E366" s="58">
        <v>4362049</v>
      </c>
      <c r="F366" s="58">
        <v>53</v>
      </c>
      <c r="G366" s="58">
        <v>36293</v>
      </c>
      <c r="H366" s="69">
        <v>44814</v>
      </c>
      <c r="I366" s="58">
        <v>0.14000000000000001</v>
      </c>
      <c r="J366" s="58">
        <v>1038744.63</v>
      </c>
    </row>
    <row r="367" spans="1:10" ht="15">
      <c r="A367" s="58" t="s">
        <v>741</v>
      </c>
      <c r="B367" s="58" t="s">
        <v>792</v>
      </c>
      <c r="C367" s="58" t="s">
        <v>798</v>
      </c>
      <c r="D367" s="58" t="s">
        <v>803</v>
      </c>
      <c r="E367" s="58">
        <v>1546186</v>
      </c>
      <c r="F367" s="58">
        <v>56</v>
      </c>
      <c r="G367" s="58">
        <v>376115</v>
      </c>
      <c r="H367" s="69">
        <v>44989</v>
      </c>
      <c r="I367" s="58">
        <v>0.15</v>
      </c>
      <c r="J367" s="58">
        <v>1468225.55</v>
      </c>
    </row>
    <row r="368" spans="1:10" ht="15">
      <c r="A368" s="58" t="s">
        <v>744</v>
      </c>
      <c r="B368" s="58" t="s">
        <v>808</v>
      </c>
      <c r="C368" s="58" t="s">
        <v>799</v>
      </c>
      <c r="D368" s="58" t="s">
        <v>815</v>
      </c>
      <c r="E368" s="58">
        <v>258391</v>
      </c>
      <c r="F368" s="58">
        <v>57</v>
      </c>
      <c r="G368" s="58">
        <v>92970</v>
      </c>
      <c r="H368" s="69">
        <v>45538</v>
      </c>
      <c r="I368" s="58">
        <v>0.39</v>
      </c>
      <c r="J368" s="58">
        <v>2934268.47</v>
      </c>
    </row>
    <row r="369" spans="1:10" ht="15">
      <c r="A369" s="58" t="s">
        <v>749</v>
      </c>
      <c r="B369" s="58" t="s">
        <v>809</v>
      </c>
      <c r="C369" s="58" t="s">
        <v>807</v>
      </c>
      <c r="D369" s="58" t="s">
        <v>806</v>
      </c>
      <c r="E369" s="58">
        <v>4566084</v>
      </c>
      <c r="F369" s="58">
        <v>83</v>
      </c>
      <c r="G369" s="58">
        <v>153791</v>
      </c>
      <c r="H369" s="69">
        <v>44793</v>
      </c>
      <c r="I369" s="58">
        <v>0.02</v>
      </c>
      <c r="J369" s="58">
        <v>2789066.28</v>
      </c>
    </row>
    <row r="370" spans="1:10" ht="15">
      <c r="A370" s="58" t="s">
        <v>742</v>
      </c>
      <c r="B370" s="58" t="s">
        <v>802</v>
      </c>
      <c r="C370" s="58" t="s">
        <v>799</v>
      </c>
      <c r="D370" s="58" t="s">
        <v>791</v>
      </c>
      <c r="E370" s="58">
        <v>3114960</v>
      </c>
      <c r="F370" s="58">
        <v>85</v>
      </c>
      <c r="G370" s="58">
        <v>141387</v>
      </c>
      <c r="H370" s="69">
        <v>44691</v>
      </c>
      <c r="I370" s="58">
        <v>0.03</v>
      </c>
      <c r="J370" s="58">
        <v>1761474.06</v>
      </c>
    </row>
    <row r="371" spans="1:10" ht="15">
      <c r="A371" s="58" t="s">
        <v>747</v>
      </c>
      <c r="B371" s="58" t="s">
        <v>802</v>
      </c>
      <c r="C371" s="58" t="s">
        <v>809</v>
      </c>
      <c r="D371" s="58" t="s">
        <v>806</v>
      </c>
      <c r="E371" s="58">
        <v>3211562</v>
      </c>
      <c r="F371" s="58">
        <v>98</v>
      </c>
      <c r="G371" s="58">
        <v>396043</v>
      </c>
      <c r="H371" s="69">
        <v>44979</v>
      </c>
      <c r="I371" s="58">
        <v>0.38</v>
      </c>
      <c r="J371" s="58">
        <v>608127.36</v>
      </c>
    </row>
    <row r="372" spans="1:10" ht="15">
      <c r="A372" s="58" t="s">
        <v>740</v>
      </c>
      <c r="B372" s="58" t="s">
        <v>790</v>
      </c>
      <c r="C372" s="58" t="s">
        <v>798</v>
      </c>
      <c r="D372" s="58" t="s">
        <v>791</v>
      </c>
      <c r="E372" s="58">
        <v>1902944</v>
      </c>
      <c r="F372" s="58">
        <v>91</v>
      </c>
      <c r="G372" s="58">
        <v>283574</v>
      </c>
      <c r="H372" s="69">
        <v>44928</v>
      </c>
      <c r="I372" s="58">
        <v>0.42</v>
      </c>
      <c r="J372" s="58">
        <v>2248335.0299999998</v>
      </c>
    </row>
    <row r="373" spans="1:10" ht="15">
      <c r="A373" s="58" t="s">
        <v>743</v>
      </c>
      <c r="B373" s="58" t="s">
        <v>792</v>
      </c>
      <c r="C373" s="58" t="s">
        <v>795</v>
      </c>
      <c r="D373" s="58" t="s">
        <v>815</v>
      </c>
      <c r="E373" s="58">
        <v>1291083</v>
      </c>
      <c r="F373" s="58">
        <v>65</v>
      </c>
      <c r="G373" s="58">
        <v>478969</v>
      </c>
      <c r="H373" s="69">
        <v>44985</v>
      </c>
      <c r="I373" s="58">
        <v>0.43</v>
      </c>
      <c r="J373" s="58">
        <v>2171441.86</v>
      </c>
    </row>
    <row r="374" spans="1:10" ht="15">
      <c r="A374" s="58" t="s">
        <v>748</v>
      </c>
      <c r="B374" s="58" t="s">
        <v>809</v>
      </c>
      <c r="C374" s="58" t="s">
        <v>809</v>
      </c>
      <c r="D374" s="58" t="s">
        <v>811</v>
      </c>
      <c r="E374" s="58">
        <v>3962122</v>
      </c>
      <c r="F374" s="58">
        <v>13</v>
      </c>
      <c r="G374" s="58">
        <v>428765</v>
      </c>
      <c r="H374" s="69">
        <v>44584</v>
      </c>
      <c r="I374" s="58">
        <v>0.39</v>
      </c>
      <c r="J374" s="58">
        <v>1078974.1599999999</v>
      </c>
    </row>
    <row r="375" spans="1:10" ht="15">
      <c r="A375" s="58" t="s">
        <v>749</v>
      </c>
      <c r="B375" s="58" t="s">
        <v>809</v>
      </c>
      <c r="C375" s="58" t="s">
        <v>795</v>
      </c>
      <c r="D375" s="58" t="s">
        <v>789</v>
      </c>
      <c r="E375" s="58">
        <v>621552</v>
      </c>
      <c r="F375" s="58">
        <v>90</v>
      </c>
      <c r="G375" s="58">
        <v>430163</v>
      </c>
      <c r="H375" s="69">
        <v>45364</v>
      </c>
      <c r="I375" s="58">
        <v>0.43</v>
      </c>
      <c r="J375" s="58">
        <v>2688309.25</v>
      </c>
    </row>
    <row r="376" spans="1:10" ht="15">
      <c r="A376" s="58" t="s">
        <v>745</v>
      </c>
      <c r="B376" s="58" t="s">
        <v>787</v>
      </c>
      <c r="C376" s="58" t="s">
        <v>798</v>
      </c>
      <c r="D376" s="58" t="s">
        <v>812</v>
      </c>
      <c r="E376" s="58">
        <v>562780</v>
      </c>
      <c r="F376" s="58">
        <v>83</v>
      </c>
      <c r="G376" s="58">
        <v>411016</v>
      </c>
      <c r="H376" s="69">
        <v>45079</v>
      </c>
      <c r="I376" s="58">
        <v>0.12</v>
      </c>
      <c r="J376" s="58">
        <v>860459.56</v>
      </c>
    </row>
    <row r="377" spans="1:10" ht="15">
      <c r="A377" s="58" t="s">
        <v>740</v>
      </c>
      <c r="B377" s="58" t="s">
        <v>808</v>
      </c>
      <c r="C377" s="58" t="s">
        <v>807</v>
      </c>
      <c r="D377" s="58" t="s">
        <v>812</v>
      </c>
      <c r="E377" s="58">
        <v>2980128</v>
      </c>
      <c r="F377" s="58">
        <v>16</v>
      </c>
      <c r="G377" s="58">
        <v>277282</v>
      </c>
      <c r="H377" s="69">
        <v>45378</v>
      </c>
      <c r="I377" s="58">
        <v>0.25</v>
      </c>
      <c r="J377" s="58">
        <v>826377.33</v>
      </c>
    </row>
    <row r="378" spans="1:10" ht="15">
      <c r="A378" s="58" t="s">
        <v>744</v>
      </c>
      <c r="B378" s="58" t="s">
        <v>802</v>
      </c>
      <c r="C378" s="58" t="s">
        <v>798</v>
      </c>
      <c r="D378" s="58" t="s">
        <v>811</v>
      </c>
      <c r="E378" s="58">
        <v>1457778</v>
      </c>
      <c r="F378" s="58">
        <v>87</v>
      </c>
      <c r="G378" s="58">
        <v>95445</v>
      </c>
      <c r="H378" s="69">
        <v>44615</v>
      </c>
      <c r="I378" s="58">
        <v>0.25</v>
      </c>
      <c r="J378" s="58">
        <v>2279454.87</v>
      </c>
    </row>
    <row r="379" spans="1:10" ht="15">
      <c r="A379" s="58" t="s">
        <v>745</v>
      </c>
      <c r="B379" s="58" t="s">
        <v>802</v>
      </c>
      <c r="C379" s="58" t="s">
        <v>807</v>
      </c>
      <c r="D379" s="58" t="s">
        <v>812</v>
      </c>
      <c r="E379" s="58">
        <v>1351898</v>
      </c>
      <c r="F379" s="58">
        <v>52</v>
      </c>
      <c r="G379" s="58">
        <v>448513</v>
      </c>
      <c r="H379" s="69">
        <v>44686</v>
      </c>
      <c r="I379" s="58">
        <v>0.1</v>
      </c>
      <c r="J379" s="58">
        <v>3103119</v>
      </c>
    </row>
    <row r="380" spans="1:10" ht="15">
      <c r="A380" s="58" t="s">
        <v>740</v>
      </c>
      <c r="B380" s="58" t="s">
        <v>808</v>
      </c>
      <c r="C380" s="58" t="s">
        <v>798</v>
      </c>
      <c r="D380" s="58" t="s">
        <v>796</v>
      </c>
      <c r="E380" s="58">
        <v>518470</v>
      </c>
      <c r="F380" s="58">
        <v>78</v>
      </c>
      <c r="G380" s="58">
        <v>102630</v>
      </c>
      <c r="H380" s="69">
        <v>44816</v>
      </c>
      <c r="I380" s="58">
        <v>0.2</v>
      </c>
      <c r="J380" s="58">
        <v>3875436.64</v>
      </c>
    </row>
    <row r="381" spans="1:10" ht="15">
      <c r="A381" s="58" t="s">
        <v>748</v>
      </c>
      <c r="B381" s="58" t="s">
        <v>804</v>
      </c>
      <c r="C381" s="58" t="s">
        <v>788</v>
      </c>
      <c r="D381" s="58" t="s">
        <v>811</v>
      </c>
      <c r="E381" s="58">
        <v>1901095</v>
      </c>
      <c r="F381" s="58">
        <v>58</v>
      </c>
      <c r="G381" s="58">
        <v>498772</v>
      </c>
      <c r="H381" s="69">
        <v>44661</v>
      </c>
      <c r="I381" s="58">
        <v>0.35</v>
      </c>
      <c r="J381" s="58">
        <v>36940.28</v>
      </c>
    </row>
    <row r="382" spans="1:10" ht="15">
      <c r="A382" s="58" t="s">
        <v>742</v>
      </c>
      <c r="B382" s="58" t="s">
        <v>790</v>
      </c>
      <c r="C382" s="58" t="s">
        <v>799</v>
      </c>
      <c r="D382" s="58" t="s">
        <v>796</v>
      </c>
      <c r="E382" s="58">
        <v>786215</v>
      </c>
      <c r="F382" s="58">
        <v>100</v>
      </c>
      <c r="G382" s="58">
        <v>370405</v>
      </c>
      <c r="H382" s="69">
        <v>44696</v>
      </c>
      <c r="I382" s="58">
        <v>0.37</v>
      </c>
      <c r="J382" s="58">
        <v>320410.2</v>
      </c>
    </row>
    <row r="383" spans="1:10" ht="15">
      <c r="A383" s="58" t="s">
        <v>742</v>
      </c>
      <c r="B383" s="58" t="s">
        <v>804</v>
      </c>
      <c r="C383" s="58" t="s">
        <v>795</v>
      </c>
      <c r="D383" s="58" t="s">
        <v>806</v>
      </c>
      <c r="E383" s="58">
        <v>495189</v>
      </c>
      <c r="F383" s="58">
        <v>76</v>
      </c>
      <c r="G383" s="58">
        <v>384445</v>
      </c>
      <c r="H383" s="69">
        <v>45618</v>
      </c>
      <c r="I383" s="58">
        <v>0.09</v>
      </c>
      <c r="J383" s="58">
        <v>314038.68</v>
      </c>
    </row>
    <row r="384" spans="1:10" ht="15">
      <c r="A384" s="58" t="s">
        <v>744</v>
      </c>
      <c r="B384" s="58" t="s">
        <v>792</v>
      </c>
      <c r="C384" s="58" t="s">
        <v>798</v>
      </c>
      <c r="D384" s="58" t="s">
        <v>815</v>
      </c>
      <c r="E384" s="58">
        <v>1274391</v>
      </c>
      <c r="F384" s="58">
        <v>33</v>
      </c>
      <c r="G384" s="58">
        <v>66782</v>
      </c>
      <c r="H384" s="69">
        <v>45144</v>
      </c>
      <c r="I384" s="58">
        <v>0.4</v>
      </c>
      <c r="J384" s="58">
        <v>4377237.0999999996</v>
      </c>
    </row>
    <row r="385" spans="1:10" ht="15">
      <c r="A385" s="58" t="s">
        <v>746</v>
      </c>
      <c r="B385" s="58" t="s">
        <v>804</v>
      </c>
      <c r="C385" s="58" t="s">
        <v>799</v>
      </c>
      <c r="D385" s="58" t="s">
        <v>806</v>
      </c>
      <c r="E385" s="58">
        <v>298403</v>
      </c>
      <c r="F385" s="58">
        <v>55</v>
      </c>
      <c r="G385" s="58">
        <v>275447</v>
      </c>
      <c r="H385" s="69">
        <v>44817</v>
      </c>
      <c r="I385" s="58">
        <v>0</v>
      </c>
      <c r="J385" s="58">
        <v>599524.71</v>
      </c>
    </row>
    <row r="386" spans="1:10" ht="15">
      <c r="A386" s="58" t="s">
        <v>743</v>
      </c>
      <c r="B386" s="58" t="s">
        <v>787</v>
      </c>
      <c r="C386" s="58" t="s">
        <v>793</v>
      </c>
      <c r="D386" s="58" t="s">
        <v>811</v>
      </c>
      <c r="E386" s="58">
        <v>4198709</v>
      </c>
      <c r="F386" s="58">
        <v>99</v>
      </c>
      <c r="G386" s="58">
        <v>488205</v>
      </c>
      <c r="H386" s="69">
        <v>44945</v>
      </c>
      <c r="I386" s="58">
        <v>0.3</v>
      </c>
      <c r="J386" s="58">
        <v>493472</v>
      </c>
    </row>
    <row r="387" spans="1:10" ht="15">
      <c r="A387" s="58" t="s">
        <v>743</v>
      </c>
      <c r="B387" s="58" t="s">
        <v>809</v>
      </c>
      <c r="C387" s="58" t="s">
        <v>788</v>
      </c>
      <c r="D387" s="58" t="s">
        <v>810</v>
      </c>
      <c r="E387" s="58">
        <v>4772800</v>
      </c>
      <c r="F387" s="58">
        <v>52</v>
      </c>
      <c r="G387" s="58">
        <v>187090</v>
      </c>
      <c r="H387" s="69">
        <v>44578</v>
      </c>
      <c r="I387" s="58">
        <v>0.49</v>
      </c>
      <c r="J387" s="58">
        <v>2856043.54</v>
      </c>
    </row>
    <row r="388" spans="1:10" ht="15">
      <c r="A388" s="58" t="s">
        <v>749</v>
      </c>
      <c r="B388" s="58" t="s">
        <v>792</v>
      </c>
      <c r="C388" s="58" t="s">
        <v>799</v>
      </c>
      <c r="D388" s="58" t="s">
        <v>805</v>
      </c>
      <c r="E388" s="58">
        <v>3524190</v>
      </c>
      <c r="F388" s="58">
        <v>80</v>
      </c>
      <c r="G388" s="58">
        <v>456843</v>
      </c>
      <c r="H388" s="69">
        <v>44666</v>
      </c>
      <c r="I388" s="58">
        <v>0.1</v>
      </c>
      <c r="J388" s="58">
        <v>2258208.7999999998</v>
      </c>
    </row>
    <row r="389" spans="1:10" ht="15">
      <c r="A389" s="58" t="s">
        <v>741</v>
      </c>
      <c r="B389" s="58" t="s">
        <v>797</v>
      </c>
      <c r="C389" s="58" t="s">
        <v>795</v>
      </c>
      <c r="D389" s="58" t="s">
        <v>805</v>
      </c>
      <c r="E389" s="58">
        <v>917232</v>
      </c>
      <c r="F389" s="58">
        <v>6</v>
      </c>
      <c r="G389" s="58">
        <v>136470</v>
      </c>
      <c r="H389" s="69">
        <v>45497</v>
      </c>
      <c r="I389" s="58">
        <v>0.38</v>
      </c>
      <c r="J389" s="58">
        <v>3364584.44</v>
      </c>
    </row>
    <row r="390" spans="1:10" ht="15">
      <c r="A390" s="58" t="s">
        <v>740</v>
      </c>
      <c r="B390" s="58" t="s">
        <v>790</v>
      </c>
      <c r="C390" s="58" t="s">
        <v>788</v>
      </c>
      <c r="D390" s="58" t="s">
        <v>789</v>
      </c>
      <c r="E390" s="58">
        <v>2833360</v>
      </c>
      <c r="F390" s="58">
        <v>4</v>
      </c>
      <c r="G390" s="58">
        <v>306957</v>
      </c>
      <c r="H390" s="69">
        <v>45479</v>
      </c>
      <c r="I390" s="58">
        <v>0.37</v>
      </c>
      <c r="J390" s="58">
        <v>1658613.74</v>
      </c>
    </row>
    <row r="391" spans="1:10" ht="15">
      <c r="A391" s="58" t="s">
        <v>748</v>
      </c>
      <c r="B391" s="58" t="s">
        <v>794</v>
      </c>
      <c r="C391" s="58" t="s">
        <v>795</v>
      </c>
      <c r="D391" s="58" t="s">
        <v>810</v>
      </c>
      <c r="E391" s="58">
        <v>2898386</v>
      </c>
      <c r="F391" s="58">
        <v>48</v>
      </c>
      <c r="G391" s="58">
        <v>318892</v>
      </c>
      <c r="H391" s="69">
        <v>45514</v>
      </c>
      <c r="I391" s="58">
        <v>0.2</v>
      </c>
      <c r="J391" s="58">
        <v>2734682.72</v>
      </c>
    </row>
    <row r="392" spans="1:10" ht="15">
      <c r="A392" s="58" t="s">
        <v>744</v>
      </c>
      <c r="B392" s="58" t="s">
        <v>790</v>
      </c>
      <c r="C392" s="58" t="s">
        <v>788</v>
      </c>
      <c r="D392" s="58" t="s">
        <v>803</v>
      </c>
      <c r="E392" s="58">
        <v>3348747</v>
      </c>
      <c r="F392" s="58">
        <v>36</v>
      </c>
      <c r="G392" s="58">
        <v>132005</v>
      </c>
      <c r="H392" s="69">
        <v>44866</v>
      </c>
      <c r="I392" s="58">
        <v>0.44</v>
      </c>
      <c r="J392" s="58">
        <v>889791.98</v>
      </c>
    </row>
    <row r="393" spans="1:10" ht="15">
      <c r="A393" s="58" t="s">
        <v>743</v>
      </c>
      <c r="B393" s="58" t="s">
        <v>794</v>
      </c>
      <c r="C393" s="58" t="s">
        <v>809</v>
      </c>
      <c r="D393" s="58" t="s">
        <v>800</v>
      </c>
      <c r="E393" s="58">
        <v>485296</v>
      </c>
      <c r="F393" s="58">
        <v>92</v>
      </c>
      <c r="G393" s="58">
        <v>15535</v>
      </c>
      <c r="H393" s="69">
        <v>45009</v>
      </c>
      <c r="I393" s="58">
        <v>0.49</v>
      </c>
      <c r="J393" s="58">
        <v>1448163.14</v>
      </c>
    </row>
    <row r="394" spans="1:10" ht="15">
      <c r="A394" s="58" t="s">
        <v>746</v>
      </c>
      <c r="B394" s="58" t="s">
        <v>802</v>
      </c>
      <c r="C394" s="58" t="s">
        <v>809</v>
      </c>
      <c r="D394" s="58" t="s">
        <v>812</v>
      </c>
      <c r="E394" s="58">
        <v>4953431</v>
      </c>
      <c r="F394" s="58">
        <v>1</v>
      </c>
      <c r="G394" s="58">
        <v>440170</v>
      </c>
      <c r="H394" s="69">
        <v>45360</v>
      </c>
      <c r="I394" s="58">
        <v>0.28000000000000003</v>
      </c>
      <c r="J394" s="58">
        <v>2039513.77</v>
      </c>
    </row>
    <row r="395" spans="1:10" ht="15">
      <c r="A395" s="58" t="s">
        <v>749</v>
      </c>
      <c r="B395" s="58" t="s">
        <v>792</v>
      </c>
      <c r="C395" s="58" t="s">
        <v>807</v>
      </c>
      <c r="D395" s="58" t="s">
        <v>796</v>
      </c>
      <c r="E395" s="58">
        <v>2656052</v>
      </c>
      <c r="F395" s="58">
        <v>18</v>
      </c>
      <c r="G395" s="58">
        <v>463387</v>
      </c>
      <c r="H395" s="69">
        <v>44669</v>
      </c>
      <c r="I395" s="58">
        <v>0.38</v>
      </c>
      <c r="J395" s="58">
        <v>1760643.84</v>
      </c>
    </row>
    <row r="396" spans="1:10" ht="15">
      <c r="A396" s="58" t="s">
        <v>747</v>
      </c>
      <c r="B396" s="58" t="s">
        <v>794</v>
      </c>
      <c r="C396" s="58" t="s">
        <v>788</v>
      </c>
      <c r="D396" s="58" t="s">
        <v>789</v>
      </c>
      <c r="E396" s="58">
        <v>2807148</v>
      </c>
      <c r="F396" s="58">
        <v>73</v>
      </c>
      <c r="G396" s="58">
        <v>444026</v>
      </c>
      <c r="H396" s="69">
        <v>45181</v>
      </c>
      <c r="I396" s="58">
        <v>0.16</v>
      </c>
      <c r="J396" s="58">
        <v>3395475.28</v>
      </c>
    </row>
    <row r="397" spans="1:10" ht="15">
      <c r="A397" s="58" t="s">
        <v>745</v>
      </c>
      <c r="B397" s="58" t="s">
        <v>809</v>
      </c>
      <c r="C397" s="58" t="s">
        <v>799</v>
      </c>
      <c r="D397" s="58" t="s">
        <v>811</v>
      </c>
      <c r="E397" s="58">
        <v>2150210</v>
      </c>
      <c r="F397" s="58">
        <v>29</v>
      </c>
      <c r="G397" s="58">
        <v>16889</v>
      </c>
      <c r="H397" s="69">
        <v>45294</v>
      </c>
      <c r="I397" s="58">
        <v>0.09</v>
      </c>
      <c r="J397" s="58">
        <v>2816084.25</v>
      </c>
    </row>
    <row r="398" spans="1:10" ht="15">
      <c r="A398" s="58" t="s">
        <v>741</v>
      </c>
      <c r="B398" s="58" t="s">
        <v>814</v>
      </c>
      <c r="C398" s="58" t="s">
        <v>809</v>
      </c>
      <c r="D398" s="58" t="s">
        <v>813</v>
      </c>
      <c r="E398" s="58">
        <v>4780192</v>
      </c>
      <c r="F398" s="58">
        <v>51</v>
      </c>
      <c r="G398" s="58">
        <v>249280</v>
      </c>
      <c r="H398" s="69">
        <v>45049</v>
      </c>
      <c r="I398" s="58">
        <v>0.34</v>
      </c>
      <c r="J398" s="58">
        <v>1056003.96</v>
      </c>
    </row>
    <row r="399" spans="1:10" ht="15">
      <c r="A399" s="58" t="s">
        <v>746</v>
      </c>
      <c r="B399" s="58" t="s">
        <v>790</v>
      </c>
      <c r="C399" s="58" t="s">
        <v>807</v>
      </c>
      <c r="D399" s="58" t="s">
        <v>812</v>
      </c>
      <c r="E399" s="58">
        <v>4256553</v>
      </c>
      <c r="F399" s="58">
        <v>62</v>
      </c>
      <c r="G399" s="58">
        <v>82773</v>
      </c>
      <c r="H399" s="69">
        <v>45570</v>
      </c>
      <c r="I399" s="58">
        <v>0.26</v>
      </c>
      <c r="J399" s="58">
        <v>229229.6</v>
      </c>
    </row>
    <row r="400" spans="1:10" ht="15">
      <c r="A400" s="58" t="s">
        <v>747</v>
      </c>
      <c r="B400" s="58" t="s">
        <v>804</v>
      </c>
      <c r="C400" s="58" t="s">
        <v>795</v>
      </c>
      <c r="D400" s="58" t="s">
        <v>813</v>
      </c>
      <c r="E400" s="58">
        <v>4767263</v>
      </c>
      <c r="F400" s="58">
        <v>33</v>
      </c>
      <c r="G400" s="58">
        <v>476210</v>
      </c>
      <c r="H400" s="69">
        <v>44724</v>
      </c>
      <c r="I400" s="58">
        <v>0.39</v>
      </c>
      <c r="J400" s="58">
        <v>1379070.5</v>
      </c>
    </row>
    <row r="401" spans="1:10" ht="15">
      <c r="A401" s="58" t="s">
        <v>747</v>
      </c>
      <c r="B401" s="58" t="s">
        <v>792</v>
      </c>
      <c r="C401" s="58" t="s">
        <v>807</v>
      </c>
      <c r="D401" s="58" t="s">
        <v>800</v>
      </c>
      <c r="E401" s="58">
        <v>1300919</v>
      </c>
      <c r="F401" s="58">
        <v>73</v>
      </c>
      <c r="G401" s="58">
        <v>37514</v>
      </c>
      <c r="H401" s="69">
        <v>45340</v>
      </c>
      <c r="I401" s="58">
        <v>0.4</v>
      </c>
      <c r="J401" s="58">
        <v>161088</v>
      </c>
    </row>
    <row r="402" spans="1:10" ht="15">
      <c r="A402" s="58" t="s">
        <v>749</v>
      </c>
      <c r="B402" s="58" t="s">
        <v>787</v>
      </c>
      <c r="C402" s="58" t="s">
        <v>799</v>
      </c>
      <c r="D402" s="58" t="s">
        <v>812</v>
      </c>
      <c r="E402" s="58">
        <v>1784771</v>
      </c>
      <c r="F402" s="58">
        <v>56</v>
      </c>
      <c r="G402" s="58">
        <v>71553</v>
      </c>
      <c r="H402" s="69">
        <v>45200</v>
      </c>
      <c r="I402" s="58">
        <v>0.25</v>
      </c>
      <c r="J402" s="58">
        <v>3147610.72</v>
      </c>
    </row>
    <row r="403" spans="1:10" ht="15">
      <c r="A403" s="58" t="s">
        <v>743</v>
      </c>
      <c r="B403" s="58" t="s">
        <v>808</v>
      </c>
      <c r="C403" s="58" t="s">
        <v>788</v>
      </c>
      <c r="D403" s="58" t="s">
        <v>811</v>
      </c>
      <c r="E403" s="58">
        <v>3559409</v>
      </c>
      <c r="F403" s="58">
        <v>9</v>
      </c>
      <c r="G403" s="58">
        <v>497114</v>
      </c>
      <c r="H403" s="69">
        <v>45161</v>
      </c>
      <c r="I403" s="58">
        <v>0.39</v>
      </c>
      <c r="J403" s="58">
        <v>2299937.7599999998</v>
      </c>
    </row>
    <row r="404" spans="1:10" ht="15">
      <c r="A404" s="58" t="s">
        <v>740</v>
      </c>
      <c r="B404" s="58" t="s">
        <v>808</v>
      </c>
      <c r="C404" s="58" t="s">
        <v>795</v>
      </c>
      <c r="D404" s="58" t="s">
        <v>803</v>
      </c>
      <c r="E404" s="58">
        <v>4846328</v>
      </c>
      <c r="F404" s="58">
        <v>38</v>
      </c>
      <c r="G404" s="58">
        <v>277013</v>
      </c>
      <c r="H404" s="69">
        <v>44623</v>
      </c>
      <c r="I404" s="58">
        <v>0.17</v>
      </c>
      <c r="J404" s="58">
        <v>2490723.2000000002</v>
      </c>
    </row>
    <row r="405" spans="1:10" ht="15">
      <c r="A405" s="58" t="s">
        <v>749</v>
      </c>
      <c r="B405" s="58" t="s">
        <v>797</v>
      </c>
      <c r="C405" s="58" t="s">
        <v>809</v>
      </c>
      <c r="D405" s="58" t="s">
        <v>803</v>
      </c>
      <c r="E405" s="58">
        <v>1171669</v>
      </c>
      <c r="F405" s="58">
        <v>32</v>
      </c>
      <c r="G405" s="58">
        <v>303492</v>
      </c>
      <c r="H405" s="69">
        <v>45292</v>
      </c>
      <c r="I405" s="58">
        <v>0.18</v>
      </c>
      <c r="J405" s="58">
        <v>3449165.4</v>
      </c>
    </row>
    <row r="406" spans="1:10" ht="15">
      <c r="A406" s="58" t="s">
        <v>743</v>
      </c>
      <c r="B406" s="58" t="s">
        <v>787</v>
      </c>
      <c r="C406" s="58" t="s">
        <v>788</v>
      </c>
      <c r="D406" s="58" t="s">
        <v>789</v>
      </c>
      <c r="E406" s="58">
        <v>3061892</v>
      </c>
      <c r="F406" s="58">
        <v>9</v>
      </c>
      <c r="G406" s="58">
        <v>448335</v>
      </c>
      <c r="H406" s="69">
        <v>45408</v>
      </c>
      <c r="I406" s="58">
        <v>0.41</v>
      </c>
      <c r="J406" s="58">
        <v>572004</v>
      </c>
    </row>
    <row r="407" spans="1:10" ht="15">
      <c r="A407" s="58" t="s">
        <v>742</v>
      </c>
      <c r="B407" s="58" t="s">
        <v>792</v>
      </c>
      <c r="C407" s="58" t="s">
        <v>807</v>
      </c>
      <c r="D407" s="58" t="s">
        <v>812</v>
      </c>
      <c r="E407" s="58">
        <v>4950050</v>
      </c>
      <c r="F407" s="58">
        <v>53</v>
      </c>
      <c r="G407" s="58">
        <v>122943</v>
      </c>
      <c r="H407" s="69">
        <v>45080</v>
      </c>
      <c r="I407" s="58">
        <v>0.03</v>
      </c>
      <c r="J407" s="58">
        <v>1426236.9</v>
      </c>
    </row>
    <row r="408" spans="1:10" ht="15">
      <c r="A408" s="58" t="s">
        <v>747</v>
      </c>
      <c r="B408" s="58" t="s">
        <v>808</v>
      </c>
      <c r="C408" s="58" t="s">
        <v>793</v>
      </c>
      <c r="D408" s="58" t="s">
        <v>812</v>
      </c>
      <c r="E408" s="58">
        <v>336413</v>
      </c>
      <c r="F408" s="58">
        <v>34</v>
      </c>
      <c r="G408" s="58">
        <v>322004</v>
      </c>
      <c r="H408" s="69">
        <v>45019</v>
      </c>
      <c r="I408" s="58">
        <v>0.26</v>
      </c>
      <c r="J408" s="58">
        <v>407099.1</v>
      </c>
    </row>
    <row r="409" spans="1:10" ht="15">
      <c r="A409" s="58" t="s">
        <v>748</v>
      </c>
      <c r="B409" s="58" t="s">
        <v>792</v>
      </c>
      <c r="C409" s="58" t="s">
        <v>788</v>
      </c>
      <c r="D409" s="58" t="s">
        <v>789</v>
      </c>
      <c r="E409" s="58">
        <v>2620778</v>
      </c>
      <c r="F409" s="58">
        <v>14</v>
      </c>
      <c r="G409" s="58">
        <v>254155</v>
      </c>
      <c r="H409" s="69">
        <v>44624</v>
      </c>
      <c r="I409" s="58">
        <v>0.04</v>
      </c>
      <c r="J409" s="58">
        <v>2568418.2000000002</v>
      </c>
    </row>
    <row r="410" spans="1:10" ht="15">
      <c r="A410" s="58" t="s">
        <v>740</v>
      </c>
      <c r="B410" s="58" t="s">
        <v>814</v>
      </c>
      <c r="C410" s="58" t="s">
        <v>809</v>
      </c>
      <c r="D410" s="58" t="s">
        <v>800</v>
      </c>
      <c r="E410" s="58">
        <v>4395598</v>
      </c>
      <c r="F410" s="58">
        <v>66</v>
      </c>
      <c r="G410" s="58">
        <v>499429</v>
      </c>
      <c r="H410" s="69">
        <v>45588</v>
      </c>
      <c r="I410" s="58">
        <v>0.01</v>
      </c>
      <c r="J410" s="58">
        <v>1779583.68</v>
      </c>
    </row>
    <row r="411" spans="1:10" ht="15">
      <c r="A411" s="58" t="s">
        <v>743</v>
      </c>
      <c r="B411" s="58" t="s">
        <v>804</v>
      </c>
      <c r="C411" s="58" t="s">
        <v>795</v>
      </c>
      <c r="D411" s="58" t="s">
        <v>815</v>
      </c>
      <c r="E411" s="58">
        <v>3894271</v>
      </c>
      <c r="F411" s="58">
        <v>45</v>
      </c>
      <c r="G411" s="58">
        <v>15682</v>
      </c>
      <c r="H411" s="69">
        <v>45421</v>
      </c>
      <c r="I411" s="58">
        <v>0.4</v>
      </c>
      <c r="J411" s="58">
        <v>2768882.46</v>
      </c>
    </row>
    <row r="412" spans="1:10" ht="15">
      <c r="A412" s="58" t="s">
        <v>742</v>
      </c>
      <c r="B412" s="58" t="s">
        <v>814</v>
      </c>
      <c r="C412" s="58" t="s">
        <v>807</v>
      </c>
      <c r="D412" s="58" t="s">
        <v>801</v>
      </c>
      <c r="E412" s="58">
        <v>2781781</v>
      </c>
      <c r="F412" s="58">
        <v>86</v>
      </c>
      <c r="G412" s="58">
        <v>47575</v>
      </c>
      <c r="H412" s="69">
        <v>44722</v>
      </c>
      <c r="I412" s="58">
        <v>0.41</v>
      </c>
      <c r="J412" s="58">
        <v>1883027.63</v>
      </c>
    </row>
    <row r="413" spans="1:10" ht="15">
      <c r="A413" s="58" t="s">
        <v>744</v>
      </c>
      <c r="B413" s="58" t="s">
        <v>794</v>
      </c>
      <c r="C413" s="58" t="s">
        <v>799</v>
      </c>
      <c r="D413" s="58" t="s">
        <v>805</v>
      </c>
      <c r="E413" s="58">
        <v>3274235</v>
      </c>
      <c r="F413" s="58">
        <v>94</v>
      </c>
      <c r="G413" s="58">
        <v>311964</v>
      </c>
      <c r="H413" s="69">
        <v>44999</v>
      </c>
      <c r="I413" s="58">
        <v>0.24</v>
      </c>
      <c r="J413" s="58">
        <v>2580848</v>
      </c>
    </row>
    <row r="414" spans="1:10" ht="15">
      <c r="A414" s="58" t="s">
        <v>748</v>
      </c>
      <c r="B414" s="58" t="s">
        <v>797</v>
      </c>
      <c r="C414" s="58" t="s">
        <v>798</v>
      </c>
      <c r="D414" s="58" t="s">
        <v>805</v>
      </c>
      <c r="E414" s="58">
        <v>4892888</v>
      </c>
      <c r="F414" s="58">
        <v>22</v>
      </c>
      <c r="G414" s="58">
        <v>80823</v>
      </c>
      <c r="H414" s="69">
        <v>44951</v>
      </c>
      <c r="I414" s="58">
        <v>0.46</v>
      </c>
      <c r="J414" s="58">
        <v>1513268.46</v>
      </c>
    </row>
    <row r="415" spans="1:10" ht="15">
      <c r="A415" s="58" t="s">
        <v>744</v>
      </c>
      <c r="B415" s="58" t="s">
        <v>804</v>
      </c>
      <c r="C415" s="58" t="s">
        <v>798</v>
      </c>
      <c r="D415" s="58" t="s">
        <v>796</v>
      </c>
      <c r="E415" s="58">
        <v>2768108</v>
      </c>
      <c r="F415" s="58">
        <v>53</v>
      </c>
      <c r="G415" s="58">
        <v>299894</v>
      </c>
      <c r="H415" s="69">
        <v>45444</v>
      </c>
      <c r="I415" s="58">
        <v>0.3</v>
      </c>
      <c r="J415" s="58">
        <v>2389628.2400000002</v>
      </c>
    </row>
    <row r="416" spans="1:10" ht="15">
      <c r="A416" s="58" t="s">
        <v>749</v>
      </c>
      <c r="B416" s="58" t="s">
        <v>808</v>
      </c>
      <c r="C416" s="58" t="s">
        <v>788</v>
      </c>
      <c r="D416" s="58" t="s">
        <v>796</v>
      </c>
      <c r="E416" s="58">
        <v>4998864</v>
      </c>
      <c r="F416" s="58">
        <v>97</v>
      </c>
      <c r="G416" s="58">
        <v>155150</v>
      </c>
      <c r="H416" s="69">
        <v>44965</v>
      </c>
      <c r="I416" s="58">
        <v>0.12</v>
      </c>
      <c r="J416" s="58">
        <v>444298.23</v>
      </c>
    </row>
    <row r="417" spans="1:10" ht="15">
      <c r="A417" s="58" t="s">
        <v>741</v>
      </c>
      <c r="B417" s="58" t="s">
        <v>792</v>
      </c>
      <c r="C417" s="58" t="s">
        <v>809</v>
      </c>
      <c r="D417" s="58" t="s">
        <v>812</v>
      </c>
      <c r="E417" s="58">
        <v>4355262</v>
      </c>
      <c r="F417" s="58">
        <v>46</v>
      </c>
      <c r="G417" s="58">
        <v>154094</v>
      </c>
      <c r="H417" s="69">
        <v>45392</v>
      </c>
      <c r="I417" s="58">
        <v>0.25</v>
      </c>
      <c r="J417" s="58">
        <v>581452.19999999995</v>
      </c>
    </row>
    <row r="418" spans="1:10" ht="15">
      <c r="A418" s="58" t="s">
        <v>746</v>
      </c>
      <c r="B418" s="58" t="s">
        <v>792</v>
      </c>
      <c r="C418" s="58" t="s">
        <v>793</v>
      </c>
      <c r="D418" s="58" t="s">
        <v>811</v>
      </c>
      <c r="E418" s="58">
        <v>2178885</v>
      </c>
      <c r="F418" s="58">
        <v>47</v>
      </c>
      <c r="G418" s="58">
        <v>464162</v>
      </c>
      <c r="H418" s="69">
        <v>44570</v>
      </c>
      <c r="I418" s="58">
        <v>0.46</v>
      </c>
      <c r="J418" s="58">
        <v>2572062.2000000002</v>
      </c>
    </row>
    <row r="419" spans="1:10" ht="15">
      <c r="A419" s="58" t="s">
        <v>744</v>
      </c>
      <c r="B419" s="58" t="s">
        <v>792</v>
      </c>
      <c r="C419" s="58" t="s">
        <v>809</v>
      </c>
      <c r="D419" s="58" t="s">
        <v>812</v>
      </c>
      <c r="E419" s="58">
        <v>1356091</v>
      </c>
      <c r="F419" s="58">
        <v>31</v>
      </c>
      <c r="G419" s="58">
        <v>258938</v>
      </c>
      <c r="H419" s="69">
        <v>44824</v>
      </c>
      <c r="I419" s="58">
        <v>0.28000000000000003</v>
      </c>
      <c r="J419" s="58">
        <v>3654235.13</v>
      </c>
    </row>
    <row r="420" spans="1:10" ht="15">
      <c r="A420" s="58" t="s">
        <v>746</v>
      </c>
      <c r="B420" s="58" t="s">
        <v>814</v>
      </c>
      <c r="C420" s="58" t="s">
        <v>788</v>
      </c>
      <c r="D420" s="58" t="s">
        <v>803</v>
      </c>
      <c r="E420" s="58">
        <v>2587435</v>
      </c>
      <c r="F420" s="58">
        <v>59</v>
      </c>
      <c r="G420" s="58">
        <v>298348</v>
      </c>
      <c r="H420" s="69">
        <v>44856</v>
      </c>
      <c r="I420" s="58">
        <v>0.03</v>
      </c>
      <c r="J420" s="58">
        <v>4658526.04</v>
      </c>
    </row>
    <row r="421" spans="1:10" ht="15">
      <c r="A421" s="58" t="s">
        <v>741</v>
      </c>
      <c r="B421" s="58" t="s">
        <v>809</v>
      </c>
      <c r="C421" s="58" t="s">
        <v>807</v>
      </c>
      <c r="D421" s="58" t="s">
        <v>789</v>
      </c>
      <c r="E421" s="58">
        <v>430342</v>
      </c>
      <c r="F421" s="58">
        <v>19</v>
      </c>
      <c r="G421" s="58">
        <v>280809</v>
      </c>
      <c r="H421" s="69">
        <v>44679</v>
      </c>
      <c r="I421" s="58">
        <v>0.06</v>
      </c>
      <c r="J421" s="58">
        <v>211945.92</v>
      </c>
    </row>
    <row r="422" spans="1:10" ht="15">
      <c r="A422" s="58" t="s">
        <v>742</v>
      </c>
      <c r="B422" s="58" t="s">
        <v>809</v>
      </c>
      <c r="C422" s="58" t="s">
        <v>793</v>
      </c>
      <c r="D422" s="58" t="s">
        <v>805</v>
      </c>
      <c r="E422" s="58">
        <v>559890</v>
      </c>
      <c r="F422" s="58">
        <v>42</v>
      </c>
      <c r="G422" s="58">
        <v>111030</v>
      </c>
      <c r="H422" s="69">
        <v>45203</v>
      </c>
      <c r="I422" s="58">
        <v>0.15</v>
      </c>
      <c r="J422" s="58">
        <v>1222411</v>
      </c>
    </row>
    <row r="423" spans="1:10" ht="15">
      <c r="A423" s="58" t="s">
        <v>743</v>
      </c>
      <c r="B423" s="58" t="s">
        <v>808</v>
      </c>
      <c r="C423" s="58" t="s">
        <v>799</v>
      </c>
      <c r="D423" s="58" t="s">
        <v>800</v>
      </c>
      <c r="E423" s="58">
        <v>320859</v>
      </c>
      <c r="F423" s="58">
        <v>73</v>
      </c>
      <c r="G423" s="58">
        <v>282962</v>
      </c>
      <c r="H423" s="69">
        <v>45296</v>
      </c>
      <c r="I423" s="58">
        <v>0.39</v>
      </c>
      <c r="J423" s="58">
        <v>3025361.98</v>
      </c>
    </row>
    <row r="424" spans="1:10" ht="15">
      <c r="A424" s="58" t="s">
        <v>741</v>
      </c>
      <c r="B424" s="58" t="s">
        <v>808</v>
      </c>
      <c r="C424" s="58" t="s">
        <v>807</v>
      </c>
      <c r="D424" s="58" t="s">
        <v>803</v>
      </c>
      <c r="E424" s="58">
        <v>1017166</v>
      </c>
      <c r="F424" s="58">
        <v>7</v>
      </c>
      <c r="G424" s="58">
        <v>482751</v>
      </c>
      <c r="H424" s="69">
        <v>45453</v>
      </c>
      <c r="I424" s="58">
        <v>0.21</v>
      </c>
      <c r="J424" s="58">
        <v>2999627.25</v>
      </c>
    </row>
    <row r="425" spans="1:10" ht="15">
      <c r="A425" s="58" t="s">
        <v>741</v>
      </c>
      <c r="B425" s="58" t="s">
        <v>790</v>
      </c>
      <c r="C425" s="58" t="s">
        <v>809</v>
      </c>
      <c r="D425" s="58" t="s">
        <v>800</v>
      </c>
      <c r="E425" s="58">
        <v>4155592</v>
      </c>
      <c r="F425" s="58">
        <v>83</v>
      </c>
      <c r="G425" s="58">
        <v>58302</v>
      </c>
      <c r="H425" s="69">
        <v>44743</v>
      </c>
      <c r="I425" s="58">
        <v>0.24</v>
      </c>
      <c r="J425" s="58">
        <v>4366400.78</v>
      </c>
    </row>
    <row r="426" spans="1:10" ht="15">
      <c r="A426" s="58" t="s">
        <v>747</v>
      </c>
      <c r="B426" s="58" t="s">
        <v>790</v>
      </c>
      <c r="C426" s="58" t="s">
        <v>807</v>
      </c>
      <c r="D426" s="58" t="s">
        <v>800</v>
      </c>
      <c r="E426" s="58">
        <v>404000</v>
      </c>
      <c r="F426" s="58">
        <v>74</v>
      </c>
      <c r="G426" s="58">
        <v>188483</v>
      </c>
      <c r="H426" s="69">
        <v>45237</v>
      </c>
      <c r="I426" s="58">
        <v>0.27</v>
      </c>
      <c r="J426" s="58">
        <v>1005601.48</v>
      </c>
    </row>
    <row r="427" spans="1:10" ht="15">
      <c r="A427" s="58" t="s">
        <v>746</v>
      </c>
      <c r="B427" s="58" t="s">
        <v>787</v>
      </c>
      <c r="C427" s="58" t="s">
        <v>795</v>
      </c>
      <c r="D427" s="58" t="s">
        <v>813</v>
      </c>
      <c r="E427" s="58">
        <v>3700626</v>
      </c>
      <c r="F427" s="58">
        <v>49</v>
      </c>
      <c r="G427" s="58">
        <v>148450</v>
      </c>
      <c r="H427" s="69">
        <v>44776</v>
      </c>
      <c r="I427" s="58">
        <v>0.4</v>
      </c>
      <c r="J427" s="58">
        <v>985456.29</v>
      </c>
    </row>
    <row r="428" spans="1:10" ht="15">
      <c r="A428" s="58" t="s">
        <v>745</v>
      </c>
      <c r="B428" s="58" t="s">
        <v>814</v>
      </c>
      <c r="C428" s="58" t="s">
        <v>788</v>
      </c>
      <c r="D428" s="58" t="s">
        <v>805</v>
      </c>
      <c r="E428" s="58">
        <v>2114743</v>
      </c>
      <c r="F428" s="58">
        <v>86</v>
      </c>
      <c r="G428" s="58">
        <v>492727</v>
      </c>
      <c r="H428" s="69">
        <v>45225</v>
      </c>
      <c r="I428" s="58">
        <v>0.13</v>
      </c>
      <c r="J428" s="58">
        <v>706734.6</v>
      </c>
    </row>
    <row r="429" spans="1:10" ht="15">
      <c r="A429" s="58" t="s">
        <v>741</v>
      </c>
      <c r="B429" s="58" t="s">
        <v>809</v>
      </c>
      <c r="C429" s="58" t="s">
        <v>809</v>
      </c>
      <c r="D429" s="58" t="s">
        <v>810</v>
      </c>
      <c r="E429" s="58">
        <v>1869975</v>
      </c>
      <c r="F429" s="58">
        <v>36</v>
      </c>
      <c r="G429" s="58">
        <v>462523</v>
      </c>
      <c r="H429" s="69">
        <v>45572</v>
      </c>
      <c r="I429" s="58">
        <v>0.16</v>
      </c>
      <c r="J429" s="58">
        <v>268834.56</v>
      </c>
    </row>
    <row r="430" spans="1:10" ht="15">
      <c r="A430" s="58" t="s">
        <v>745</v>
      </c>
      <c r="B430" s="58" t="s">
        <v>792</v>
      </c>
      <c r="C430" s="58" t="s">
        <v>809</v>
      </c>
      <c r="D430" s="58" t="s">
        <v>813</v>
      </c>
      <c r="E430" s="58">
        <v>2100727</v>
      </c>
      <c r="F430" s="58">
        <v>69</v>
      </c>
      <c r="G430" s="58">
        <v>254134</v>
      </c>
      <c r="H430" s="69">
        <v>44754</v>
      </c>
      <c r="I430" s="58">
        <v>0.47</v>
      </c>
      <c r="J430" s="58">
        <v>412530.03</v>
      </c>
    </row>
    <row r="431" spans="1:10" ht="15">
      <c r="A431" s="58" t="s">
        <v>747</v>
      </c>
      <c r="B431" s="58" t="s">
        <v>797</v>
      </c>
      <c r="C431" s="58" t="s">
        <v>807</v>
      </c>
      <c r="D431" s="58" t="s">
        <v>796</v>
      </c>
      <c r="E431" s="58">
        <v>3843048</v>
      </c>
      <c r="F431" s="58">
        <v>11</v>
      </c>
      <c r="G431" s="58">
        <v>133400</v>
      </c>
      <c r="H431" s="69">
        <v>44909</v>
      </c>
      <c r="I431" s="58">
        <v>0.41</v>
      </c>
      <c r="J431" s="58">
        <v>157448.12</v>
      </c>
    </row>
    <row r="432" spans="1:10" ht="15">
      <c r="A432" s="58" t="s">
        <v>742</v>
      </c>
      <c r="B432" s="58" t="s">
        <v>809</v>
      </c>
      <c r="C432" s="58" t="s">
        <v>798</v>
      </c>
      <c r="D432" s="58" t="s">
        <v>800</v>
      </c>
      <c r="E432" s="58">
        <v>581968</v>
      </c>
      <c r="F432" s="58">
        <v>34</v>
      </c>
      <c r="G432" s="58">
        <v>484772</v>
      </c>
      <c r="H432" s="69">
        <v>45524</v>
      </c>
      <c r="I432" s="58">
        <v>0.06</v>
      </c>
      <c r="J432" s="58">
        <v>994590.21</v>
      </c>
    </row>
    <row r="433" spans="1:10" ht="15">
      <c r="A433" s="58" t="s">
        <v>748</v>
      </c>
      <c r="B433" s="58" t="s">
        <v>792</v>
      </c>
      <c r="C433" s="58" t="s">
        <v>788</v>
      </c>
      <c r="D433" s="58" t="s">
        <v>796</v>
      </c>
      <c r="E433" s="58">
        <v>4337794</v>
      </c>
      <c r="F433" s="58">
        <v>78</v>
      </c>
      <c r="G433" s="58">
        <v>344584</v>
      </c>
      <c r="H433" s="69">
        <v>45474</v>
      </c>
      <c r="I433" s="58">
        <v>0.1</v>
      </c>
      <c r="J433" s="58">
        <v>2675842.4700000002</v>
      </c>
    </row>
    <row r="434" spans="1:10" ht="15">
      <c r="A434" s="58" t="s">
        <v>746</v>
      </c>
      <c r="B434" s="58" t="s">
        <v>808</v>
      </c>
      <c r="C434" s="58" t="s">
        <v>788</v>
      </c>
      <c r="D434" s="58" t="s">
        <v>791</v>
      </c>
      <c r="E434" s="58">
        <v>4396047</v>
      </c>
      <c r="F434" s="58">
        <v>32</v>
      </c>
      <c r="G434" s="58">
        <v>253445</v>
      </c>
      <c r="H434" s="69">
        <v>44683</v>
      </c>
      <c r="I434" s="58">
        <v>0.28000000000000003</v>
      </c>
      <c r="J434" s="58">
        <v>1370679.24</v>
      </c>
    </row>
    <row r="435" spans="1:10" ht="15">
      <c r="A435" s="58" t="s">
        <v>746</v>
      </c>
      <c r="B435" s="58" t="s">
        <v>790</v>
      </c>
      <c r="C435" s="58" t="s">
        <v>799</v>
      </c>
      <c r="D435" s="58" t="s">
        <v>812</v>
      </c>
      <c r="E435" s="58">
        <v>4411245</v>
      </c>
      <c r="F435" s="58">
        <v>5</v>
      </c>
      <c r="G435" s="58">
        <v>226806</v>
      </c>
      <c r="H435" s="69">
        <v>45134</v>
      </c>
      <c r="I435" s="58">
        <v>0.13</v>
      </c>
      <c r="J435" s="58">
        <v>2444233.5499999998</v>
      </c>
    </row>
    <row r="436" spans="1:10" ht="15">
      <c r="A436" s="58" t="s">
        <v>740</v>
      </c>
      <c r="B436" s="58" t="s">
        <v>804</v>
      </c>
      <c r="C436" s="58" t="s">
        <v>793</v>
      </c>
      <c r="D436" s="58" t="s">
        <v>811</v>
      </c>
      <c r="E436" s="58">
        <v>1794977</v>
      </c>
      <c r="F436" s="58">
        <v>24</v>
      </c>
      <c r="G436" s="58">
        <v>313706</v>
      </c>
      <c r="H436" s="69">
        <v>44885</v>
      </c>
      <c r="I436" s="58">
        <v>0.44</v>
      </c>
      <c r="J436" s="58">
        <v>2343036.08</v>
      </c>
    </row>
    <row r="437" spans="1:10" ht="15">
      <c r="A437" s="58" t="s">
        <v>740</v>
      </c>
      <c r="B437" s="58" t="s">
        <v>790</v>
      </c>
      <c r="C437" s="58" t="s">
        <v>793</v>
      </c>
      <c r="D437" s="58" t="s">
        <v>791</v>
      </c>
      <c r="E437" s="58">
        <v>4829894</v>
      </c>
      <c r="F437" s="58">
        <v>39</v>
      </c>
      <c r="G437" s="58">
        <v>409049</v>
      </c>
      <c r="H437" s="69">
        <v>45613</v>
      </c>
      <c r="I437" s="58">
        <v>0.19</v>
      </c>
      <c r="J437" s="58">
        <v>3815480.76</v>
      </c>
    </row>
    <row r="438" spans="1:10" ht="15">
      <c r="A438" s="58" t="s">
        <v>749</v>
      </c>
      <c r="B438" s="58" t="s">
        <v>814</v>
      </c>
      <c r="C438" s="58" t="s">
        <v>793</v>
      </c>
      <c r="D438" s="58" t="s">
        <v>806</v>
      </c>
      <c r="E438" s="58">
        <v>3839192</v>
      </c>
      <c r="F438" s="58">
        <v>67</v>
      </c>
      <c r="G438" s="58">
        <v>161264</v>
      </c>
      <c r="H438" s="69">
        <v>45458</v>
      </c>
      <c r="I438" s="58">
        <v>0.44</v>
      </c>
      <c r="J438" s="58">
        <v>1558862.8</v>
      </c>
    </row>
    <row r="439" spans="1:10" ht="15">
      <c r="A439" s="58" t="s">
        <v>740</v>
      </c>
      <c r="B439" s="58" t="s">
        <v>808</v>
      </c>
      <c r="C439" s="58" t="s">
        <v>795</v>
      </c>
      <c r="D439" s="58" t="s">
        <v>796</v>
      </c>
      <c r="E439" s="58">
        <v>4707171</v>
      </c>
      <c r="F439" s="58">
        <v>3</v>
      </c>
      <c r="G439" s="58">
        <v>239902</v>
      </c>
      <c r="H439" s="69">
        <v>45541</v>
      </c>
      <c r="I439" s="58">
        <v>0.19</v>
      </c>
      <c r="J439" s="58">
        <v>3149544.06</v>
      </c>
    </row>
    <row r="440" spans="1:10" ht="15">
      <c r="A440" s="58" t="s">
        <v>741</v>
      </c>
      <c r="B440" s="58" t="s">
        <v>792</v>
      </c>
      <c r="C440" s="58" t="s">
        <v>809</v>
      </c>
      <c r="D440" s="58" t="s">
        <v>791</v>
      </c>
      <c r="E440" s="58">
        <v>3454885</v>
      </c>
      <c r="F440" s="58">
        <v>95</v>
      </c>
      <c r="G440" s="58">
        <v>235339</v>
      </c>
      <c r="H440" s="69">
        <v>44831</v>
      </c>
      <c r="I440" s="58">
        <v>0.46</v>
      </c>
      <c r="J440" s="58">
        <v>1223030.3999999999</v>
      </c>
    </row>
    <row r="441" spans="1:10" ht="15">
      <c r="A441" s="58" t="s">
        <v>743</v>
      </c>
      <c r="B441" s="58" t="s">
        <v>802</v>
      </c>
      <c r="C441" s="58" t="s">
        <v>793</v>
      </c>
      <c r="D441" s="58" t="s">
        <v>805</v>
      </c>
      <c r="E441" s="58">
        <v>4624233</v>
      </c>
      <c r="F441" s="58">
        <v>3</v>
      </c>
      <c r="G441" s="58">
        <v>408800</v>
      </c>
      <c r="H441" s="69">
        <v>45053</v>
      </c>
      <c r="I441" s="58">
        <v>0.14000000000000001</v>
      </c>
      <c r="J441" s="58">
        <v>1764291.07</v>
      </c>
    </row>
    <row r="442" spans="1:10" ht="15">
      <c r="A442" s="58" t="s">
        <v>748</v>
      </c>
      <c r="B442" s="58" t="s">
        <v>802</v>
      </c>
      <c r="C442" s="58" t="s">
        <v>809</v>
      </c>
      <c r="D442" s="58" t="s">
        <v>806</v>
      </c>
      <c r="E442" s="58">
        <v>4454400</v>
      </c>
      <c r="F442" s="58">
        <v>38</v>
      </c>
      <c r="G442" s="58">
        <v>487418</v>
      </c>
      <c r="H442" s="69">
        <v>45614</v>
      </c>
      <c r="I442" s="58">
        <v>0.44</v>
      </c>
      <c r="J442" s="58">
        <v>820391.44</v>
      </c>
    </row>
    <row r="443" spans="1:10" ht="15">
      <c r="A443" s="58" t="s">
        <v>741</v>
      </c>
      <c r="B443" s="58" t="s">
        <v>808</v>
      </c>
      <c r="C443" s="58" t="s">
        <v>793</v>
      </c>
      <c r="D443" s="58" t="s">
        <v>810</v>
      </c>
      <c r="E443" s="58">
        <v>1810705</v>
      </c>
      <c r="F443" s="58">
        <v>97</v>
      </c>
      <c r="G443" s="58">
        <v>390103</v>
      </c>
      <c r="H443" s="69">
        <v>45432</v>
      </c>
      <c r="I443" s="58">
        <v>0.33</v>
      </c>
      <c r="J443" s="58">
        <v>1328997.8500000001</v>
      </c>
    </row>
    <row r="444" spans="1:10" ht="15">
      <c r="A444" s="58" t="s">
        <v>747</v>
      </c>
      <c r="B444" s="58" t="s">
        <v>802</v>
      </c>
      <c r="C444" s="58" t="s">
        <v>807</v>
      </c>
      <c r="D444" s="58" t="s">
        <v>810</v>
      </c>
      <c r="E444" s="58">
        <v>3154142</v>
      </c>
      <c r="F444" s="58">
        <v>54</v>
      </c>
      <c r="G444" s="58">
        <v>210350</v>
      </c>
      <c r="H444" s="69">
        <v>45188</v>
      </c>
      <c r="I444" s="58">
        <v>0.36</v>
      </c>
      <c r="J444" s="58">
        <v>1081429.1100000001</v>
      </c>
    </row>
    <row r="445" spans="1:10" ht="15">
      <c r="A445" s="58" t="s">
        <v>740</v>
      </c>
      <c r="B445" s="58" t="s">
        <v>792</v>
      </c>
      <c r="C445" s="58" t="s">
        <v>798</v>
      </c>
      <c r="D445" s="58" t="s">
        <v>803</v>
      </c>
      <c r="E445" s="58">
        <v>2506799</v>
      </c>
      <c r="F445" s="58">
        <v>37</v>
      </c>
      <c r="G445" s="58">
        <v>471768</v>
      </c>
      <c r="H445" s="69">
        <v>44562</v>
      </c>
      <c r="I445" s="58">
        <v>0.01</v>
      </c>
      <c r="J445" s="58">
        <v>2355413.64</v>
      </c>
    </row>
    <row r="446" spans="1:10" ht="15">
      <c r="A446" s="58" t="s">
        <v>743</v>
      </c>
      <c r="B446" s="58" t="s">
        <v>814</v>
      </c>
      <c r="C446" s="58" t="s">
        <v>795</v>
      </c>
      <c r="D446" s="58" t="s">
        <v>801</v>
      </c>
      <c r="E446" s="58">
        <v>4566231</v>
      </c>
      <c r="F446" s="58">
        <v>83</v>
      </c>
      <c r="G446" s="58">
        <v>251414</v>
      </c>
      <c r="H446" s="69">
        <v>45174</v>
      </c>
      <c r="I446" s="58">
        <v>0.31</v>
      </c>
      <c r="J446" s="58">
        <v>1707321</v>
      </c>
    </row>
    <row r="447" spans="1:10" ht="15">
      <c r="A447" s="58" t="s">
        <v>742</v>
      </c>
      <c r="B447" s="58" t="s">
        <v>804</v>
      </c>
      <c r="C447" s="58" t="s">
        <v>793</v>
      </c>
      <c r="D447" s="58" t="s">
        <v>813</v>
      </c>
      <c r="E447" s="58">
        <v>1131171</v>
      </c>
      <c r="F447" s="58">
        <v>89</v>
      </c>
      <c r="G447" s="58">
        <v>295566</v>
      </c>
      <c r="H447" s="69">
        <v>45374</v>
      </c>
      <c r="I447" s="58">
        <v>0.11</v>
      </c>
      <c r="J447" s="58">
        <v>125974.17</v>
      </c>
    </row>
    <row r="448" spans="1:10" ht="15">
      <c r="A448" s="58" t="s">
        <v>742</v>
      </c>
      <c r="B448" s="58" t="s">
        <v>787</v>
      </c>
      <c r="C448" s="58" t="s">
        <v>799</v>
      </c>
      <c r="D448" s="58" t="s">
        <v>796</v>
      </c>
      <c r="E448" s="58">
        <v>46030</v>
      </c>
      <c r="F448" s="58">
        <v>41</v>
      </c>
      <c r="G448" s="58">
        <v>369016</v>
      </c>
      <c r="H448" s="69">
        <v>45113</v>
      </c>
      <c r="I448" s="58">
        <v>0.08</v>
      </c>
      <c r="J448" s="58">
        <v>1654447.68</v>
      </c>
    </row>
    <row r="449" spans="1:10" ht="15">
      <c r="A449" s="58" t="s">
        <v>746</v>
      </c>
      <c r="B449" s="58" t="s">
        <v>809</v>
      </c>
      <c r="C449" s="58" t="s">
        <v>795</v>
      </c>
      <c r="D449" s="58" t="s">
        <v>805</v>
      </c>
      <c r="E449" s="58">
        <v>1769440</v>
      </c>
      <c r="F449" s="58">
        <v>73</v>
      </c>
      <c r="G449" s="58">
        <v>247245</v>
      </c>
      <c r="H449" s="69">
        <v>45613</v>
      </c>
      <c r="I449" s="58">
        <v>0.05</v>
      </c>
      <c r="J449" s="58">
        <v>2015502.3</v>
      </c>
    </row>
    <row r="450" spans="1:10" ht="15">
      <c r="A450" s="58" t="s">
        <v>743</v>
      </c>
      <c r="B450" s="58" t="s">
        <v>814</v>
      </c>
      <c r="C450" s="58" t="s">
        <v>798</v>
      </c>
      <c r="D450" s="58" t="s">
        <v>813</v>
      </c>
      <c r="E450" s="58">
        <v>3093717</v>
      </c>
      <c r="F450" s="58">
        <v>73</v>
      </c>
      <c r="G450" s="58">
        <v>170823</v>
      </c>
      <c r="H450" s="69">
        <v>45561</v>
      </c>
      <c r="I450" s="58">
        <v>0.22</v>
      </c>
      <c r="J450" s="58">
        <v>1981394.87</v>
      </c>
    </row>
    <row r="451" spans="1:10" ht="15">
      <c r="A451" s="58" t="s">
        <v>747</v>
      </c>
      <c r="B451" s="58" t="s">
        <v>792</v>
      </c>
      <c r="C451" s="58" t="s">
        <v>788</v>
      </c>
      <c r="D451" s="58" t="s">
        <v>812</v>
      </c>
      <c r="E451" s="58">
        <v>3122957</v>
      </c>
      <c r="F451" s="58">
        <v>58</v>
      </c>
      <c r="G451" s="58">
        <v>31569</v>
      </c>
      <c r="H451" s="69">
        <v>45053</v>
      </c>
      <c r="I451" s="58">
        <v>0.31</v>
      </c>
      <c r="J451" s="58">
        <v>1007617.02</v>
      </c>
    </row>
    <row r="452" spans="1:10" ht="15">
      <c r="A452" s="58" t="s">
        <v>742</v>
      </c>
      <c r="B452" s="58" t="s">
        <v>809</v>
      </c>
      <c r="C452" s="58" t="s">
        <v>809</v>
      </c>
      <c r="D452" s="58" t="s">
        <v>801</v>
      </c>
      <c r="E452" s="58">
        <v>952928</v>
      </c>
      <c r="F452" s="58">
        <v>8</v>
      </c>
      <c r="G452" s="58">
        <v>338761</v>
      </c>
      <c r="H452" s="69">
        <v>45130</v>
      </c>
      <c r="I452" s="58">
        <v>0.23</v>
      </c>
      <c r="J452" s="58">
        <v>3262223.97</v>
      </c>
    </row>
    <row r="453" spans="1:10" ht="15">
      <c r="A453" s="58" t="s">
        <v>749</v>
      </c>
      <c r="B453" s="58" t="s">
        <v>794</v>
      </c>
      <c r="C453" s="58" t="s">
        <v>798</v>
      </c>
      <c r="D453" s="58" t="s">
        <v>811</v>
      </c>
      <c r="E453" s="58">
        <v>2188659</v>
      </c>
      <c r="F453" s="58">
        <v>4</v>
      </c>
      <c r="G453" s="58">
        <v>34340</v>
      </c>
      <c r="H453" s="69">
        <v>44936</v>
      </c>
      <c r="I453" s="58">
        <v>0.31</v>
      </c>
      <c r="J453" s="58">
        <v>2387361.6</v>
      </c>
    </row>
    <row r="454" spans="1:10" ht="15">
      <c r="A454" s="58" t="s">
        <v>743</v>
      </c>
      <c r="B454" s="58" t="s">
        <v>787</v>
      </c>
      <c r="C454" s="58" t="s">
        <v>798</v>
      </c>
      <c r="D454" s="58" t="s">
        <v>796</v>
      </c>
      <c r="E454" s="58">
        <v>149742</v>
      </c>
      <c r="F454" s="58">
        <v>37</v>
      </c>
      <c r="G454" s="58">
        <v>189398</v>
      </c>
      <c r="H454" s="69">
        <v>44760</v>
      </c>
      <c r="I454" s="58">
        <v>0.26</v>
      </c>
      <c r="J454" s="58">
        <v>2326398.56</v>
      </c>
    </row>
    <row r="455" spans="1:10" ht="15">
      <c r="A455" s="58" t="s">
        <v>746</v>
      </c>
      <c r="B455" s="58" t="s">
        <v>802</v>
      </c>
      <c r="C455" s="58" t="s">
        <v>809</v>
      </c>
      <c r="D455" s="58" t="s">
        <v>803</v>
      </c>
      <c r="E455" s="58">
        <v>2961861</v>
      </c>
      <c r="F455" s="58">
        <v>46</v>
      </c>
      <c r="G455" s="58">
        <v>99329</v>
      </c>
      <c r="H455" s="69">
        <v>45447</v>
      </c>
      <c r="I455" s="58">
        <v>0.04</v>
      </c>
      <c r="J455" s="58">
        <v>2309505.48</v>
      </c>
    </row>
    <row r="456" spans="1:10" ht="15">
      <c r="A456" s="58" t="s">
        <v>744</v>
      </c>
      <c r="B456" s="58" t="s">
        <v>814</v>
      </c>
      <c r="C456" s="58" t="s">
        <v>795</v>
      </c>
      <c r="D456" s="58" t="s">
        <v>813</v>
      </c>
      <c r="E456" s="58">
        <v>74031</v>
      </c>
      <c r="F456" s="58">
        <v>34</v>
      </c>
      <c r="G456" s="58">
        <v>98493</v>
      </c>
      <c r="H456" s="69">
        <v>44985</v>
      </c>
      <c r="I456" s="58">
        <v>0.31</v>
      </c>
      <c r="J456" s="58">
        <v>1104210.3799999999</v>
      </c>
    </row>
    <row r="457" spans="1:10" ht="15">
      <c r="A457" s="58" t="s">
        <v>742</v>
      </c>
      <c r="B457" s="58" t="s">
        <v>797</v>
      </c>
      <c r="C457" s="58" t="s">
        <v>788</v>
      </c>
      <c r="D457" s="58" t="s">
        <v>811</v>
      </c>
      <c r="E457" s="58">
        <v>4740844</v>
      </c>
      <c r="F457" s="58">
        <v>43</v>
      </c>
      <c r="G457" s="58">
        <v>130886</v>
      </c>
      <c r="H457" s="69">
        <v>44879</v>
      </c>
      <c r="I457" s="58">
        <v>0.02</v>
      </c>
      <c r="J457" s="58">
        <v>495469.22</v>
      </c>
    </row>
    <row r="458" spans="1:10" ht="15">
      <c r="A458" s="58" t="s">
        <v>748</v>
      </c>
      <c r="B458" s="58" t="s">
        <v>792</v>
      </c>
      <c r="C458" s="58" t="s">
        <v>793</v>
      </c>
      <c r="D458" s="58" t="s">
        <v>789</v>
      </c>
      <c r="E458" s="58">
        <v>3551747</v>
      </c>
      <c r="F458" s="58">
        <v>85</v>
      </c>
      <c r="G458" s="58">
        <v>385070</v>
      </c>
      <c r="H458" s="69">
        <v>44596</v>
      </c>
      <c r="I458" s="58">
        <v>0.31</v>
      </c>
      <c r="J458" s="58">
        <v>3836306.04</v>
      </c>
    </row>
    <row r="459" spans="1:10" ht="15">
      <c r="A459" s="58" t="s">
        <v>744</v>
      </c>
      <c r="B459" s="58" t="s">
        <v>814</v>
      </c>
      <c r="C459" s="58" t="s">
        <v>799</v>
      </c>
      <c r="D459" s="58" t="s">
        <v>801</v>
      </c>
      <c r="E459" s="58">
        <v>3191882</v>
      </c>
      <c r="F459" s="58">
        <v>37</v>
      </c>
      <c r="G459" s="58">
        <v>236959</v>
      </c>
      <c r="H459" s="69">
        <v>45146</v>
      </c>
      <c r="I459" s="58">
        <v>0.08</v>
      </c>
      <c r="J459" s="58">
        <v>1954804.83</v>
      </c>
    </row>
    <row r="460" spans="1:10" ht="15">
      <c r="A460" s="58" t="s">
        <v>746</v>
      </c>
      <c r="B460" s="58" t="s">
        <v>802</v>
      </c>
      <c r="C460" s="58" t="s">
        <v>809</v>
      </c>
      <c r="D460" s="58" t="s">
        <v>815</v>
      </c>
      <c r="E460" s="58">
        <v>1937960</v>
      </c>
      <c r="F460" s="58">
        <v>90</v>
      </c>
      <c r="G460" s="58">
        <v>192141</v>
      </c>
      <c r="H460" s="69">
        <v>44826</v>
      </c>
      <c r="I460" s="58">
        <v>0.35</v>
      </c>
      <c r="J460" s="58">
        <v>665845.09</v>
      </c>
    </row>
    <row r="461" spans="1:10" ht="15">
      <c r="A461" s="58" t="s">
        <v>749</v>
      </c>
      <c r="B461" s="58" t="s">
        <v>802</v>
      </c>
      <c r="C461" s="58" t="s">
        <v>809</v>
      </c>
      <c r="D461" s="58" t="s">
        <v>815</v>
      </c>
      <c r="E461" s="58">
        <v>4489556</v>
      </c>
      <c r="F461" s="58">
        <v>1</v>
      </c>
      <c r="G461" s="58">
        <v>420364</v>
      </c>
      <c r="H461" s="69">
        <v>45417</v>
      </c>
      <c r="I461" s="58">
        <v>0.2</v>
      </c>
      <c r="J461" s="58">
        <v>1062097.6200000001</v>
      </c>
    </row>
    <row r="462" spans="1:10" ht="15">
      <c r="A462" s="58" t="s">
        <v>744</v>
      </c>
      <c r="B462" s="58" t="s">
        <v>808</v>
      </c>
      <c r="C462" s="58" t="s">
        <v>795</v>
      </c>
      <c r="D462" s="58" t="s">
        <v>801</v>
      </c>
      <c r="E462" s="58">
        <v>1335481</v>
      </c>
      <c r="F462" s="58">
        <v>99</v>
      </c>
      <c r="G462" s="58">
        <v>317578</v>
      </c>
      <c r="H462" s="69">
        <v>44690</v>
      </c>
      <c r="I462" s="58">
        <v>0.13</v>
      </c>
      <c r="J462" s="58">
        <v>3632753.75</v>
      </c>
    </row>
    <row r="463" spans="1:10" ht="15">
      <c r="A463" s="58" t="s">
        <v>749</v>
      </c>
      <c r="B463" s="58" t="s">
        <v>792</v>
      </c>
      <c r="C463" s="58" t="s">
        <v>788</v>
      </c>
      <c r="D463" s="58" t="s">
        <v>812</v>
      </c>
      <c r="E463" s="58">
        <v>4422279</v>
      </c>
      <c r="F463" s="58">
        <v>97</v>
      </c>
      <c r="G463" s="58">
        <v>9578</v>
      </c>
      <c r="H463" s="69">
        <v>45201</v>
      </c>
      <c r="I463" s="58">
        <v>0.06</v>
      </c>
      <c r="J463" s="58">
        <v>4372847.3</v>
      </c>
    </row>
    <row r="464" spans="1:10" ht="15">
      <c r="A464" s="58" t="s">
        <v>747</v>
      </c>
      <c r="B464" s="58" t="s">
        <v>804</v>
      </c>
      <c r="C464" s="58" t="s">
        <v>795</v>
      </c>
      <c r="D464" s="58" t="s">
        <v>805</v>
      </c>
      <c r="E464" s="58">
        <v>4150656</v>
      </c>
      <c r="F464" s="58">
        <v>37</v>
      </c>
      <c r="G464" s="58">
        <v>7897</v>
      </c>
      <c r="H464" s="69">
        <v>45506</v>
      </c>
      <c r="I464" s="58">
        <v>0.06</v>
      </c>
      <c r="J464" s="58">
        <v>3703030.02</v>
      </c>
    </row>
    <row r="465" spans="1:10" ht="15">
      <c r="A465" s="58" t="s">
        <v>749</v>
      </c>
      <c r="B465" s="58" t="s">
        <v>802</v>
      </c>
      <c r="C465" s="58" t="s">
        <v>798</v>
      </c>
      <c r="D465" s="58" t="s">
        <v>813</v>
      </c>
      <c r="E465" s="58">
        <v>4056531</v>
      </c>
      <c r="F465" s="58">
        <v>52</v>
      </c>
      <c r="G465" s="58">
        <v>329920</v>
      </c>
      <c r="H465" s="69">
        <v>45430</v>
      </c>
      <c r="I465" s="58">
        <v>0.35</v>
      </c>
      <c r="J465" s="58">
        <v>1898782.38</v>
      </c>
    </row>
    <row r="466" spans="1:10" ht="15">
      <c r="A466" s="58" t="s">
        <v>742</v>
      </c>
      <c r="B466" s="58" t="s">
        <v>787</v>
      </c>
      <c r="C466" s="58" t="s">
        <v>807</v>
      </c>
      <c r="D466" s="58" t="s">
        <v>805</v>
      </c>
      <c r="E466" s="58">
        <v>2832812</v>
      </c>
      <c r="F466" s="58">
        <v>68</v>
      </c>
      <c r="G466" s="58">
        <v>456684</v>
      </c>
      <c r="H466" s="69">
        <v>44793</v>
      </c>
      <c r="I466" s="58">
        <v>0.37</v>
      </c>
      <c r="J466" s="58">
        <v>958562.99</v>
      </c>
    </row>
    <row r="467" spans="1:10" ht="15">
      <c r="A467" s="58" t="s">
        <v>740</v>
      </c>
      <c r="B467" s="58" t="s">
        <v>809</v>
      </c>
      <c r="C467" s="58" t="s">
        <v>798</v>
      </c>
      <c r="D467" s="58" t="s">
        <v>813</v>
      </c>
      <c r="E467" s="58">
        <v>3270804</v>
      </c>
      <c r="F467" s="58">
        <v>8</v>
      </c>
      <c r="G467" s="58">
        <v>229578</v>
      </c>
      <c r="H467" s="69">
        <v>45303</v>
      </c>
      <c r="I467" s="58">
        <v>0.4</v>
      </c>
      <c r="J467" s="58">
        <v>368075.5</v>
      </c>
    </row>
    <row r="468" spans="1:10" ht="15">
      <c r="A468" s="58" t="s">
        <v>743</v>
      </c>
      <c r="B468" s="58" t="s">
        <v>787</v>
      </c>
      <c r="C468" s="58" t="s">
        <v>788</v>
      </c>
      <c r="D468" s="58" t="s">
        <v>806</v>
      </c>
      <c r="E468" s="58">
        <v>3345329</v>
      </c>
      <c r="F468" s="58">
        <v>34</v>
      </c>
      <c r="G468" s="58">
        <v>495896</v>
      </c>
      <c r="H468" s="69">
        <v>45521</v>
      </c>
      <c r="I468" s="58">
        <v>0.36</v>
      </c>
      <c r="J468" s="58">
        <v>79703.91</v>
      </c>
    </row>
    <row r="469" spans="1:10" ht="15">
      <c r="A469" s="58" t="s">
        <v>741</v>
      </c>
      <c r="B469" s="58" t="s">
        <v>792</v>
      </c>
      <c r="C469" s="58" t="s">
        <v>807</v>
      </c>
      <c r="D469" s="58" t="s">
        <v>811</v>
      </c>
      <c r="E469" s="58">
        <v>2930047</v>
      </c>
      <c r="F469" s="58">
        <v>21</v>
      </c>
      <c r="G469" s="58">
        <v>154467</v>
      </c>
      <c r="H469" s="69">
        <v>44610</v>
      </c>
      <c r="I469" s="58">
        <v>0.15</v>
      </c>
      <c r="J469" s="58">
        <v>1265879.52</v>
      </c>
    </row>
    <row r="470" spans="1:10" ht="15">
      <c r="A470" s="58" t="s">
        <v>740</v>
      </c>
      <c r="B470" s="58" t="s">
        <v>794</v>
      </c>
      <c r="C470" s="58" t="s">
        <v>809</v>
      </c>
      <c r="D470" s="58" t="s">
        <v>812</v>
      </c>
      <c r="E470" s="58">
        <v>2164416</v>
      </c>
      <c r="F470" s="58">
        <v>76</v>
      </c>
      <c r="G470" s="58">
        <v>176912</v>
      </c>
      <c r="H470" s="69">
        <v>45398</v>
      </c>
      <c r="I470" s="58">
        <v>0.16</v>
      </c>
      <c r="J470" s="58">
        <v>3671737.65</v>
      </c>
    </row>
    <row r="471" spans="1:10" ht="15">
      <c r="A471" s="58" t="s">
        <v>741</v>
      </c>
      <c r="B471" s="58" t="s">
        <v>802</v>
      </c>
      <c r="C471" s="58" t="s">
        <v>799</v>
      </c>
      <c r="D471" s="58" t="s">
        <v>805</v>
      </c>
      <c r="E471" s="58">
        <v>1172722</v>
      </c>
      <c r="F471" s="58">
        <v>9</v>
      </c>
      <c r="G471" s="58">
        <v>266206</v>
      </c>
      <c r="H471" s="69">
        <v>45034</v>
      </c>
      <c r="I471" s="58">
        <v>0.24</v>
      </c>
      <c r="J471" s="58">
        <v>684388.5</v>
      </c>
    </row>
    <row r="472" spans="1:10" ht="15">
      <c r="A472" s="58" t="s">
        <v>748</v>
      </c>
      <c r="B472" s="58" t="s">
        <v>814</v>
      </c>
      <c r="C472" s="58" t="s">
        <v>809</v>
      </c>
      <c r="D472" s="58" t="s">
        <v>796</v>
      </c>
      <c r="E472" s="58">
        <v>2433039</v>
      </c>
      <c r="F472" s="58">
        <v>68</v>
      </c>
      <c r="G472" s="58">
        <v>128021</v>
      </c>
      <c r="H472" s="69">
        <v>44731</v>
      </c>
      <c r="I472" s="58">
        <v>0.16</v>
      </c>
      <c r="J472" s="58">
        <v>1756654.06</v>
      </c>
    </row>
    <row r="473" spans="1:10" ht="15">
      <c r="A473" s="58" t="s">
        <v>741</v>
      </c>
      <c r="B473" s="58" t="s">
        <v>790</v>
      </c>
      <c r="C473" s="58" t="s">
        <v>807</v>
      </c>
      <c r="D473" s="58" t="s">
        <v>801</v>
      </c>
      <c r="E473" s="58">
        <v>4309677</v>
      </c>
      <c r="F473" s="58">
        <v>19</v>
      </c>
      <c r="G473" s="58">
        <v>259987</v>
      </c>
      <c r="H473" s="69">
        <v>44908</v>
      </c>
      <c r="I473" s="58">
        <v>0.22</v>
      </c>
      <c r="J473" s="58">
        <v>66304.56</v>
      </c>
    </row>
    <row r="474" spans="1:10" ht="15">
      <c r="A474" s="58" t="s">
        <v>747</v>
      </c>
      <c r="B474" s="58" t="s">
        <v>808</v>
      </c>
      <c r="C474" s="58" t="s">
        <v>798</v>
      </c>
      <c r="D474" s="58" t="s">
        <v>813</v>
      </c>
      <c r="E474" s="58">
        <v>4822249</v>
      </c>
      <c r="F474" s="58">
        <v>23</v>
      </c>
      <c r="G474" s="58">
        <v>292742</v>
      </c>
      <c r="H474" s="69">
        <v>44672</v>
      </c>
      <c r="I474" s="58">
        <v>0.41</v>
      </c>
      <c r="J474" s="58">
        <v>25802.06</v>
      </c>
    </row>
    <row r="475" spans="1:10" ht="15">
      <c r="A475" s="58" t="s">
        <v>742</v>
      </c>
      <c r="B475" s="58" t="s">
        <v>794</v>
      </c>
      <c r="C475" s="58" t="s">
        <v>799</v>
      </c>
      <c r="D475" s="58" t="s">
        <v>800</v>
      </c>
      <c r="E475" s="58">
        <v>4542331</v>
      </c>
      <c r="F475" s="58">
        <v>85</v>
      </c>
      <c r="G475" s="58">
        <v>35665</v>
      </c>
      <c r="H475" s="69">
        <v>45568</v>
      </c>
      <c r="I475" s="58">
        <v>0.44</v>
      </c>
      <c r="J475" s="58">
        <v>2015338.65</v>
      </c>
    </row>
    <row r="476" spans="1:10" ht="15">
      <c r="A476" s="58" t="s">
        <v>741</v>
      </c>
      <c r="B476" s="58" t="s">
        <v>808</v>
      </c>
      <c r="C476" s="58" t="s">
        <v>795</v>
      </c>
      <c r="D476" s="58" t="s">
        <v>811</v>
      </c>
      <c r="E476" s="58">
        <v>2426809</v>
      </c>
      <c r="F476" s="58">
        <v>35</v>
      </c>
      <c r="G476" s="58">
        <v>228394</v>
      </c>
      <c r="H476" s="69">
        <v>45171</v>
      </c>
      <c r="I476" s="58">
        <v>0.25</v>
      </c>
      <c r="J476" s="58">
        <v>3540575.5</v>
      </c>
    </row>
    <row r="477" spans="1:10" ht="15">
      <c r="A477" s="58" t="s">
        <v>745</v>
      </c>
      <c r="B477" s="58" t="s">
        <v>797</v>
      </c>
      <c r="C477" s="58" t="s">
        <v>807</v>
      </c>
      <c r="D477" s="58" t="s">
        <v>801</v>
      </c>
      <c r="E477" s="58">
        <v>964105</v>
      </c>
      <c r="F477" s="58">
        <v>97</v>
      </c>
      <c r="G477" s="58">
        <v>38407</v>
      </c>
      <c r="H477" s="69">
        <v>45119</v>
      </c>
      <c r="I477" s="58">
        <v>0.18</v>
      </c>
      <c r="J477" s="58">
        <v>2209670.1</v>
      </c>
    </row>
    <row r="478" spans="1:10" ht="15">
      <c r="A478" s="58" t="s">
        <v>741</v>
      </c>
      <c r="B478" s="58" t="s">
        <v>787</v>
      </c>
      <c r="C478" s="58" t="s">
        <v>793</v>
      </c>
      <c r="D478" s="58" t="s">
        <v>810</v>
      </c>
      <c r="E478" s="58">
        <v>3218341</v>
      </c>
      <c r="F478" s="58">
        <v>98</v>
      </c>
      <c r="G478" s="58">
        <v>375742</v>
      </c>
      <c r="H478" s="69">
        <v>44635</v>
      </c>
      <c r="I478" s="58">
        <v>0.18</v>
      </c>
      <c r="J478" s="58">
        <v>3143082.16</v>
      </c>
    </row>
    <row r="479" spans="1:10" ht="15">
      <c r="A479" s="58" t="s">
        <v>745</v>
      </c>
      <c r="B479" s="58" t="s">
        <v>809</v>
      </c>
      <c r="C479" s="58" t="s">
        <v>795</v>
      </c>
      <c r="D479" s="58" t="s">
        <v>796</v>
      </c>
      <c r="E479" s="58">
        <v>1670274</v>
      </c>
      <c r="F479" s="58">
        <v>57</v>
      </c>
      <c r="G479" s="58">
        <v>407541</v>
      </c>
      <c r="H479" s="69">
        <v>45397</v>
      </c>
      <c r="I479" s="58">
        <v>0.42</v>
      </c>
      <c r="J479" s="58">
        <v>3542650.34</v>
      </c>
    </row>
    <row r="480" spans="1:10" ht="15">
      <c r="A480" s="58" t="s">
        <v>744</v>
      </c>
      <c r="B480" s="58" t="s">
        <v>794</v>
      </c>
      <c r="C480" s="58" t="s">
        <v>799</v>
      </c>
      <c r="D480" s="58" t="s">
        <v>789</v>
      </c>
      <c r="E480" s="58">
        <v>3738451</v>
      </c>
      <c r="F480" s="58">
        <v>71</v>
      </c>
      <c r="G480" s="58">
        <v>390183</v>
      </c>
      <c r="H480" s="69">
        <v>45348</v>
      </c>
      <c r="I480" s="58">
        <v>0.34</v>
      </c>
      <c r="J480" s="58">
        <v>2469948.4700000002</v>
      </c>
    </row>
    <row r="481" spans="1:10" ht="15">
      <c r="A481" s="58" t="s">
        <v>742</v>
      </c>
      <c r="B481" s="58" t="s">
        <v>794</v>
      </c>
      <c r="C481" s="58" t="s">
        <v>795</v>
      </c>
      <c r="D481" s="58" t="s">
        <v>806</v>
      </c>
      <c r="E481" s="58">
        <v>2925782</v>
      </c>
      <c r="F481" s="58">
        <v>90</v>
      </c>
      <c r="G481" s="58">
        <v>26905</v>
      </c>
      <c r="H481" s="69">
        <v>45407</v>
      </c>
      <c r="I481" s="58">
        <v>0.49</v>
      </c>
      <c r="J481" s="58">
        <v>304624.26</v>
      </c>
    </row>
    <row r="482" spans="1:10" ht="15">
      <c r="A482" s="58" t="s">
        <v>748</v>
      </c>
      <c r="B482" s="58" t="s">
        <v>814</v>
      </c>
      <c r="C482" s="58" t="s">
        <v>799</v>
      </c>
      <c r="D482" s="58" t="s">
        <v>806</v>
      </c>
      <c r="E482" s="58">
        <v>1245391</v>
      </c>
      <c r="F482" s="58">
        <v>67</v>
      </c>
      <c r="G482" s="58">
        <v>167495</v>
      </c>
      <c r="H482" s="69">
        <v>45323</v>
      </c>
      <c r="I482" s="58">
        <v>0.28999999999999998</v>
      </c>
      <c r="J482" s="58">
        <v>2100036.84</v>
      </c>
    </row>
    <row r="483" spans="1:10" ht="15">
      <c r="A483" s="58" t="s">
        <v>749</v>
      </c>
      <c r="B483" s="58" t="s">
        <v>804</v>
      </c>
      <c r="C483" s="58" t="s">
        <v>795</v>
      </c>
      <c r="D483" s="58" t="s">
        <v>800</v>
      </c>
      <c r="E483" s="58">
        <v>4200850</v>
      </c>
      <c r="F483" s="58">
        <v>90</v>
      </c>
      <c r="G483" s="58">
        <v>386328</v>
      </c>
      <c r="H483" s="69">
        <v>44853</v>
      </c>
      <c r="I483" s="58">
        <v>0.28999999999999998</v>
      </c>
      <c r="J483" s="58">
        <v>3139960.56</v>
      </c>
    </row>
    <row r="484" spans="1:10" ht="15">
      <c r="A484" s="58" t="s">
        <v>743</v>
      </c>
      <c r="B484" s="58" t="s">
        <v>804</v>
      </c>
      <c r="C484" s="58" t="s">
        <v>788</v>
      </c>
      <c r="D484" s="58" t="s">
        <v>810</v>
      </c>
      <c r="E484" s="58">
        <v>2125392</v>
      </c>
      <c r="F484" s="58">
        <v>5</v>
      </c>
      <c r="G484" s="58">
        <v>91219</v>
      </c>
      <c r="H484" s="69">
        <v>44729</v>
      </c>
      <c r="I484" s="58">
        <v>0.35</v>
      </c>
      <c r="J484" s="58">
        <v>1569330</v>
      </c>
    </row>
    <row r="485" spans="1:10" ht="15">
      <c r="A485" s="58" t="s">
        <v>747</v>
      </c>
      <c r="B485" s="58" t="s">
        <v>802</v>
      </c>
      <c r="C485" s="58" t="s">
        <v>799</v>
      </c>
      <c r="D485" s="58" t="s">
        <v>796</v>
      </c>
      <c r="E485" s="58">
        <v>3828828</v>
      </c>
      <c r="F485" s="58">
        <v>24</v>
      </c>
      <c r="G485" s="58">
        <v>433534</v>
      </c>
      <c r="H485" s="69">
        <v>45133</v>
      </c>
      <c r="I485" s="58">
        <v>0.28000000000000003</v>
      </c>
      <c r="J485" s="58">
        <v>1152518</v>
      </c>
    </row>
    <row r="486" spans="1:10" ht="15">
      <c r="A486" s="58" t="s">
        <v>744</v>
      </c>
      <c r="B486" s="58" t="s">
        <v>814</v>
      </c>
      <c r="C486" s="58" t="s">
        <v>809</v>
      </c>
      <c r="D486" s="58" t="s">
        <v>815</v>
      </c>
      <c r="E486" s="58">
        <v>4446749</v>
      </c>
      <c r="F486" s="58">
        <v>53</v>
      </c>
      <c r="G486" s="58">
        <v>420392</v>
      </c>
      <c r="H486" s="69">
        <v>45263</v>
      </c>
      <c r="I486" s="58">
        <v>0.38</v>
      </c>
      <c r="J486" s="58">
        <v>1084605.72</v>
      </c>
    </row>
    <row r="487" spans="1:10" ht="15">
      <c r="A487" s="58" t="s">
        <v>742</v>
      </c>
      <c r="B487" s="58" t="s">
        <v>790</v>
      </c>
      <c r="C487" s="58" t="s">
        <v>807</v>
      </c>
      <c r="D487" s="58" t="s">
        <v>801</v>
      </c>
      <c r="E487" s="58">
        <v>1546620</v>
      </c>
      <c r="F487" s="58">
        <v>92</v>
      </c>
      <c r="G487" s="58">
        <v>154973</v>
      </c>
      <c r="H487" s="69">
        <v>45150</v>
      </c>
      <c r="I487" s="58">
        <v>0.19</v>
      </c>
      <c r="J487" s="58">
        <v>2620883.4300000002</v>
      </c>
    </row>
    <row r="488" spans="1:10" ht="15">
      <c r="A488" s="58" t="s">
        <v>748</v>
      </c>
      <c r="B488" s="58" t="s">
        <v>794</v>
      </c>
      <c r="C488" s="58" t="s">
        <v>807</v>
      </c>
      <c r="D488" s="58" t="s">
        <v>789</v>
      </c>
      <c r="E488" s="58">
        <v>2685830</v>
      </c>
      <c r="F488" s="58">
        <v>75</v>
      </c>
      <c r="G488" s="58">
        <v>238703</v>
      </c>
      <c r="H488" s="69">
        <v>45262</v>
      </c>
      <c r="I488" s="58">
        <v>0.18</v>
      </c>
      <c r="J488" s="58">
        <v>1978256.43</v>
      </c>
    </row>
    <row r="489" spans="1:10" ht="15">
      <c r="A489" s="58" t="s">
        <v>744</v>
      </c>
      <c r="B489" s="58" t="s">
        <v>794</v>
      </c>
      <c r="C489" s="58" t="s">
        <v>809</v>
      </c>
      <c r="D489" s="58" t="s">
        <v>810</v>
      </c>
      <c r="E489" s="58">
        <v>1738479</v>
      </c>
      <c r="F489" s="58">
        <v>19</v>
      </c>
      <c r="G489" s="58">
        <v>357308</v>
      </c>
      <c r="H489" s="69">
        <v>45544</v>
      </c>
      <c r="I489" s="58">
        <v>0.42</v>
      </c>
      <c r="J489" s="58">
        <v>1615731</v>
      </c>
    </row>
    <row r="490" spans="1:10" ht="15">
      <c r="A490" s="58" t="s">
        <v>745</v>
      </c>
      <c r="B490" s="58" t="s">
        <v>809</v>
      </c>
      <c r="C490" s="58" t="s">
        <v>798</v>
      </c>
      <c r="D490" s="58" t="s">
        <v>813</v>
      </c>
      <c r="E490" s="58">
        <v>718608</v>
      </c>
      <c r="F490" s="58">
        <v>60</v>
      </c>
      <c r="G490" s="58">
        <v>84604</v>
      </c>
      <c r="H490" s="69">
        <v>45006</v>
      </c>
      <c r="I490" s="58">
        <v>0.44</v>
      </c>
      <c r="J490" s="58">
        <v>285163.59000000003</v>
      </c>
    </row>
    <row r="491" spans="1:10" ht="15">
      <c r="A491" s="58" t="s">
        <v>741</v>
      </c>
      <c r="B491" s="58" t="s">
        <v>804</v>
      </c>
      <c r="C491" s="58" t="s">
        <v>809</v>
      </c>
      <c r="D491" s="58" t="s">
        <v>813</v>
      </c>
      <c r="E491" s="58">
        <v>1000655</v>
      </c>
      <c r="F491" s="58">
        <v>96</v>
      </c>
      <c r="G491" s="58">
        <v>208262</v>
      </c>
      <c r="H491" s="69">
        <v>45173</v>
      </c>
      <c r="I491" s="58">
        <v>0.35</v>
      </c>
      <c r="J491" s="58">
        <v>2150331.75</v>
      </c>
    </row>
    <row r="492" spans="1:10" ht="15">
      <c r="A492" s="58" t="s">
        <v>745</v>
      </c>
      <c r="B492" s="58" t="s">
        <v>797</v>
      </c>
      <c r="C492" s="58" t="s">
        <v>793</v>
      </c>
      <c r="D492" s="58" t="s">
        <v>801</v>
      </c>
      <c r="E492" s="58">
        <v>4389187</v>
      </c>
      <c r="F492" s="58">
        <v>30</v>
      </c>
      <c r="G492" s="58">
        <v>95692</v>
      </c>
      <c r="H492" s="69">
        <v>44862</v>
      </c>
      <c r="I492" s="58">
        <v>0.37</v>
      </c>
      <c r="J492" s="58">
        <v>1115228.3999999999</v>
      </c>
    </row>
    <row r="493" spans="1:10" ht="15">
      <c r="A493" s="58" t="s">
        <v>740</v>
      </c>
      <c r="B493" s="58" t="s">
        <v>802</v>
      </c>
      <c r="C493" s="58" t="s">
        <v>788</v>
      </c>
      <c r="D493" s="58" t="s">
        <v>812</v>
      </c>
      <c r="E493" s="58">
        <v>2894963</v>
      </c>
      <c r="F493" s="58">
        <v>6</v>
      </c>
      <c r="G493" s="58">
        <v>451690</v>
      </c>
      <c r="H493" s="69">
        <v>44853</v>
      </c>
      <c r="I493" s="58">
        <v>0.47</v>
      </c>
      <c r="J493" s="58">
        <v>926567.49</v>
      </c>
    </row>
    <row r="494" spans="1:10" ht="15">
      <c r="A494" s="58" t="s">
        <v>744</v>
      </c>
      <c r="B494" s="58" t="s">
        <v>802</v>
      </c>
      <c r="C494" s="58" t="s">
        <v>798</v>
      </c>
      <c r="D494" s="58" t="s">
        <v>805</v>
      </c>
      <c r="E494" s="58">
        <v>1809792</v>
      </c>
      <c r="F494" s="58">
        <v>97</v>
      </c>
      <c r="G494" s="58">
        <v>286982</v>
      </c>
      <c r="H494" s="69">
        <v>45269</v>
      </c>
      <c r="I494" s="58">
        <v>0.5</v>
      </c>
      <c r="J494" s="58">
        <v>1296754.51</v>
      </c>
    </row>
    <row r="495" spans="1:10" ht="15">
      <c r="A495" s="58" t="s">
        <v>749</v>
      </c>
      <c r="B495" s="58" t="s">
        <v>794</v>
      </c>
      <c r="C495" s="58" t="s">
        <v>807</v>
      </c>
      <c r="D495" s="58" t="s">
        <v>800</v>
      </c>
      <c r="E495" s="58">
        <v>55936</v>
      </c>
      <c r="F495" s="58">
        <v>80</v>
      </c>
      <c r="G495" s="58">
        <v>430811</v>
      </c>
      <c r="H495" s="69">
        <v>45546</v>
      </c>
      <c r="I495" s="58">
        <v>0.12</v>
      </c>
      <c r="J495" s="58">
        <v>2798292.45</v>
      </c>
    </row>
    <row r="496" spans="1:10" ht="15">
      <c r="A496" s="58" t="s">
        <v>743</v>
      </c>
      <c r="B496" s="58" t="s">
        <v>792</v>
      </c>
      <c r="C496" s="58" t="s">
        <v>795</v>
      </c>
      <c r="D496" s="58" t="s">
        <v>811</v>
      </c>
      <c r="E496" s="58">
        <v>1312052</v>
      </c>
      <c r="F496" s="58">
        <v>12</v>
      </c>
      <c r="G496" s="58">
        <v>130508</v>
      </c>
      <c r="H496" s="69">
        <v>44597</v>
      </c>
      <c r="I496" s="58">
        <v>0.48</v>
      </c>
      <c r="J496" s="58">
        <v>78402.55</v>
      </c>
    </row>
    <row r="497" spans="1:10" ht="15">
      <c r="A497" s="58" t="s">
        <v>746</v>
      </c>
      <c r="B497" s="58" t="s">
        <v>797</v>
      </c>
      <c r="C497" s="58" t="s">
        <v>788</v>
      </c>
      <c r="D497" s="58" t="s">
        <v>812</v>
      </c>
      <c r="E497" s="58">
        <v>945854</v>
      </c>
      <c r="F497" s="58">
        <v>30</v>
      </c>
      <c r="G497" s="58">
        <v>113549</v>
      </c>
      <c r="H497" s="69">
        <v>45354</v>
      </c>
      <c r="I497" s="58">
        <v>0.49</v>
      </c>
      <c r="J497" s="58">
        <v>1414740.6</v>
      </c>
    </row>
    <row r="498" spans="1:10" ht="15">
      <c r="A498" s="58" t="s">
        <v>748</v>
      </c>
      <c r="B498" s="58" t="s">
        <v>787</v>
      </c>
      <c r="C498" s="58" t="s">
        <v>798</v>
      </c>
      <c r="D498" s="58" t="s">
        <v>803</v>
      </c>
      <c r="E498" s="58">
        <v>3729752</v>
      </c>
      <c r="F498" s="58">
        <v>65</v>
      </c>
      <c r="G498" s="58">
        <v>257746</v>
      </c>
      <c r="H498" s="69">
        <v>45090</v>
      </c>
      <c r="I498" s="58">
        <v>0.33</v>
      </c>
      <c r="J498" s="58">
        <v>933321.39</v>
      </c>
    </row>
    <row r="499" spans="1:10" ht="15">
      <c r="A499" s="58" t="s">
        <v>744</v>
      </c>
      <c r="B499" s="58" t="s">
        <v>808</v>
      </c>
      <c r="C499" s="58" t="s">
        <v>788</v>
      </c>
      <c r="D499" s="58" t="s">
        <v>800</v>
      </c>
      <c r="E499" s="58">
        <v>4014413</v>
      </c>
      <c r="F499" s="58">
        <v>4</v>
      </c>
      <c r="G499" s="58">
        <v>338162</v>
      </c>
      <c r="H499" s="69">
        <v>45122</v>
      </c>
      <c r="I499" s="58">
        <v>0.39</v>
      </c>
      <c r="J499" s="58">
        <v>2334372.54</v>
      </c>
    </row>
    <row r="500" spans="1:10" ht="15">
      <c r="A500" s="58" t="s">
        <v>749</v>
      </c>
      <c r="B500" s="58" t="s">
        <v>794</v>
      </c>
      <c r="C500" s="58" t="s">
        <v>795</v>
      </c>
      <c r="D500" s="58" t="s">
        <v>806</v>
      </c>
      <c r="E500" s="58">
        <v>2939411</v>
      </c>
      <c r="F500" s="58">
        <v>94</v>
      </c>
      <c r="G500" s="58">
        <v>90005</v>
      </c>
      <c r="H500" s="69">
        <v>44667</v>
      </c>
      <c r="I500" s="58">
        <v>0.02</v>
      </c>
      <c r="J500" s="58">
        <v>1749383.91</v>
      </c>
    </row>
    <row r="501" spans="1:10" ht="15">
      <c r="A501" s="58" t="s">
        <v>743</v>
      </c>
      <c r="B501" s="58" t="s">
        <v>792</v>
      </c>
      <c r="C501" s="58" t="s">
        <v>799</v>
      </c>
      <c r="D501" s="58" t="s">
        <v>805</v>
      </c>
      <c r="E501" s="58">
        <v>3661161</v>
      </c>
      <c r="F501" s="58">
        <v>91</v>
      </c>
      <c r="G501" s="58">
        <v>239632</v>
      </c>
      <c r="H501" s="69">
        <v>44714</v>
      </c>
      <c r="I501" s="58">
        <v>7.0000000000000007E-2</v>
      </c>
      <c r="J501" s="58">
        <v>1079133.93</v>
      </c>
    </row>
    <row r="502" spans="1:10" ht="15">
      <c r="A502" s="58" t="s">
        <v>743</v>
      </c>
      <c r="B502" s="58" t="s">
        <v>808</v>
      </c>
      <c r="C502" s="58" t="s">
        <v>788</v>
      </c>
      <c r="D502" s="58" t="s">
        <v>801</v>
      </c>
      <c r="E502" s="58">
        <v>1031654</v>
      </c>
      <c r="F502" s="58">
        <v>83</v>
      </c>
      <c r="G502" s="58">
        <v>464968</v>
      </c>
      <c r="H502" s="69">
        <v>45433</v>
      </c>
      <c r="I502" s="58">
        <v>0.4</v>
      </c>
      <c r="J502" s="58">
        <v>3454983</v>
      </c>
    </row>
    <row r="503" spans="1:10" ht="15">
      <c r="A503" s="58" t="s">
        <v>749</v>
      </c>
      <c r="B503" s="58" t="s">
        <v>809</v>
      </c>
      <c r="C503" s="58" t="s">
        <v>809</v>
      </c>
      <c r="D503" s="58" t="s">
        <v>800</v>
      </c>
      <c r="E503" s="58">
        <v>2106977</v>
      </c>
      <c r="F503" s="58">
        <v>32</v>
      </c>
      <c r="G503" s="58">
        <v>292555</v>
      </c>
      <c r="H503" s="69">
        <v>44758</v>
      </c>
      <c r="I503" s="58">
        <v>0.25</v>
      </c>
      <c r="J503" s="58">
        <v>2884876.26</v>
      </c>
    </row>
  </sheetData>
  <phoneticPr fontId="3" type="noConversion"/>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4B08-A9D4-439E-B0D6-4F58D318FD19}">
  <sheetPr codeName="Sheet11"/>
  <dimension ref="A1:P28"/>
  <sheetViews>
    <sheetView workbookViewId="0">
      <selection activeCell="A3" sqref="A3"/>
    </sheetView>
  </sheetViews>
  <sheetFormatPr baseColWidth="10" defaultColWidth="8.83203125" defaultRowHeight="17"/>
  <cols>
    <col min="2" max="2" width="9.83203125" bestFit="1" customWidth="1"/>
    <col min="4" max="4" width="16.1640625" bestFit="1" customWidth="1"/>
    <col min="5" max="5" width="14" style="66" customWidth="1"/>
    <col min="8" max="8" width="12.5" style="34" bestFit="1" customWidth="1"/>
    <col min="9" max="9" width="16.83203125" style="34" bestFit="1" customWidth="1"/>
    <col min="10" max="11" width="8.6640625" style="34"/>
    <col min="12" max="12" width="14.33203125" style="34" customWidth="1"/>
    <col min="13" max="16" width="8.6640625" style="34"/>
  </cols>
  <sheetData>
    <row r="1" spans="1:16" s="122" customFormat="1" ht="30" customHeight="1">
      <c r="E1" s="123"/>
      <c r="H1" s="120"/>
      <c r="I1" s="120"/>
      <c r="J1" s="120"/>
      <c r="K1" s="120"/>
      <c r="L1" s="120"/>
      <c r="M1" s="120"/>
      <c r="N1" s="120"/>
      <c r="O1" s="120"/>
      <c r="P1" s="120"/>
    </row>
    <row r="2" spans="1:16" s="128" customFormat="1" ht="5.5" customHeight="1">
      <c r="E2" s="129"/>
      <c r="H2" s="126"/>
      <c r="I2" s="126"/>
      <c r="J2" s="126"/>
      <c r="K2" s="126"/>
      <c r="L2" s="126"/>
      <c r="M2" s="126"/>
      <c r="N2" s="126"/>
      <c r="O2" s="126"/>
      <c r="P2" s="126"/>
    </row>
    <row r="3" spans="1:16">
      <c r="A3" s="68" t="s">
        <v>854</v>
      </c>
      <c r="B3" s="56" t="s">
        <v>855</v>
      </c>
      <c r="C3" s="56" t="s">
        <v>856</v>
      </c>
      <c r="D3" s="56" t="s">
        <v>772</v>
      </c>
      <c r="E3" s="83" t="s">
        <v>857</v>
      </c>
    </row>
    <row r="4" spans="1:16">
      <c r="A4" s="69" t="s">
        <v>858</v>
      </c>
      <c r="B4" s="69">
        <v>44571</v>
      </c>
      <c r="C4" s="69" t="s">
        <v>732</v>
      </c>
      <c r="D4" s="69" t="s">
        <v>859</v>
      </c>
      <c r="E4" s="84">
        <v>3200000</v>
      </c>
    </row>
    <row r="5" spans="1:16">
      <c r="A5" s="69" t="s">
        <v>860</v>
      </c>
      <c r="B5" s="69">
        <v>44576</v>
      </c>
      <c r="C5" s="69" t="s">
        <v>732</v>
      </c>
      <c r="D5" s="69" t="s">
        <v>861</v>
      </c>
      <c r="E5" s="84">
        <v>2400000</v>
      </c>
      <c r="H5" s="85" t="s">
        <v>847</v>
      </c>
      <c r="I5" s="34" t="s">
        <v>911</v>
      </c>
    </row>
    <row r="6" spans="1:16">
      <c r="A6" s="69" t="s">
        <v>862</v>
      </c>
      <c r="B6" s="69">
        <v>44581</v>
      </c>
      <c r="C6" s="69" t="s">
        <v>863</v>
      </c>
      <c r="D6" s="69" t="s">
        <v>864</v>
      </c>
      <c r="E6" s="84">
        <v>-1200000</v>
      </c>
      <c r="H6" s="86" t="s">
        <v>829</v>
      </c>
      <c r="I6" s="87">
        <v>4400000</v>
      </c>
      <c r="K6" s="89" t="s">
        <v>829</v>
      </c>
      <c r="L6" s="90">
        <v>4400000</v>
      </c>
    </row>
    <row r="7" spans="1:16">
      <c r="A7" s="69" t="s">
        <v>865</v>
      </c>
      <c r="B7" s="69">
        <v>44597</v>
      </c>
      <c r="C7" s="69" t="s">
        <v>863</v>
      </c>
      <c r="D7" s="69" t="s">
        <v>866</v>
      </c>
      <c r="E7" s="84">
        <v>-800000</v>
      </c>
      <c r="H7" s="86" t="s">
        <v>830</v>
      </c>
      <c r="I7" s="87">
        <v>4200000</v>
      </c>
      <c r="K7" s="89" t="s">
        <v>830</v>
      </c>
      <c r="L7" s="90">
        <v>4200000</v>
      </c>
    </row>
    <row r="8" spans="1:16">
      <c r="A8" s="69" t="s">
        <v>867</v>
      </c>
      <c r="B8" s="69">
        <v>44604</v>
      </c>
      <c r="C8" s="69" t="s">
        <v>732</v>
      </c>
      <c r="D8" s="69" t="s">
        <v>868</v>
      </c>
      <c r="E8" s="84">
        <v>5000000</v>
      </c>
      <c r="H8" s="86" t="s">
        <v>831</v>
      </c>
      <c r="I8" s="87">
        <v>1800000</v>
      </c>
      <c r="K8" s="89" t="s">
        <v>831</v>
      </c>
      <c r="L8" s="90">
        <v>1800000</v>
      </c>
    </row>
    <row r="9" spans="1:16">
      <c r="A9" s="69" t="s">
        <v>869</v>
      </c>
      <c r="B9" s="69">
        <v>44621</v>
      </c>
      <c r="C9" s="69" t="s">
        <v>863</v>
      </c>
      <c r="D9" s="69" t="s">
        <v>870</v>
      </c>
      <c r="E9" s="84">
        <v>-3000000</v>
      </c>
      <c r="H9" s="86" t="s">
        <v>832</v>
      </c>
      <c r="I9" s="87">
        <v>2900000</v>
      </c>
      <c r="K9" s="89" t="s">
        <v>832</v>
      </c>
      <c r="L9" s="90">
        <v>2900000</v>
      </c>
    </row>
    <row r="10" spans="1:16">
      <c r="A10" s="69" t="s">
        <v>871</v>
      </c>
      <c r="B10" s="69">
        <v>44630</v>
      </c>
      <c r="C10" s="69" t="s">
        <v>732</v>
      </c>
      <c r="D10" s="69" t="s">
        <v>872</v>
      </c>
      <c r="E10" s="84">
        <v>4800000</v>
      </c>
      <c r="H10" s="86" t="s">
        <v>833</v>
      </c>
      <c r="I10" s="87">
        <v>4200000</v>
      </c>
      <c r="K10" s="89" t="s">
        <v>833</v>
      </c>
      <c r="L10" s="90">
        <v>4200000</v>
      </c>
    </row>
    <row r="11" spans="1:16">
      <c r="A11" s="69" t="s">
        <v>873</v>
      </c>
      <c r="B11" s="69">
        <v>44656</v>
      </c>
      <c r="C11" s="69" t="s">
        <v>732</v>
      </c>
      <c r="D11" s="69" t="s">
        <v>874</v>
      </c>
      <c r="E11" s="84">
        <v>3500000</v>
      </c>
      <c r="H11" s="86" t="s">
        <v>834</v>
      </c>
      <c r="I11" s="87">
        <v>-600000</v>
      </c>
      <c r="K11" s="89" t="s">
        <v>834</v>
      </c>
      <c r="L11" s="90">
        <v>-600000</v>
      </c>
    </row>
    <row r="12" spans="1:16">
      <c r="A12" s="69" t="s">
        <v>875</v>
      </c>
      <c r="B12" s="69">
        <v>44666</v>
      </c>
      <c r="C12" s="69" t="s">
        <v>863</v>
      </c>
      <c r="D12" s="69" t="s">
        <v>876</v>
      </c>
      <c r="E12" s="84">
        <v>-600000</v>
      </c>
      <c r="H12" s="86" t="s">
        <v>835</v>
      </c>
      <c r="I12" s="87">
        <v>3900000</v>
      </c>
      <c r="K12" s="89" t="s">
        <v>835</v>
      </c>
      <c r="L12" s="90">
        <v>3900000</v>
      </c>
    </row>
    <row r="13" spans="1:16">
      <c r="A13" s="69" t="s">
        <v>877</v>
      </c>
      <c r="B13" s="69">
        <v>44682</v>
      </c>
      <c r="C13" s="69" t="s">
        <v>863</v>
      </c>
      <c r="D13" s="69" t="s">
        <v>878</v>
      </c>
      <c r="E13" s="84">
        <v>-2500000</v>
      </c>
      <c r="H13" s="86" t="s">
        <v>836</v>
      </c>
      <c r="I13" s="87">
        <v>4000000</v>
      </c>
      <c r="K13" s="89" t="s">
        <v>836</v>
      </c>
      <c r="L13" s="90">
        <v>4000000</v>
      </c>
    </row>
    <row r="14" spans="1:16">
      <c r="A14" s="69" t="s">
        <v>879</v>
      </c>
      <c r="B14" s="69">
        <v>44696</v>
      </c>
      <c r="C14" s="69" t="s">
        <v>732</v>
      </c>
      <c r="D14" s="69" t="s">
        <v>880</v>
      </c>
      <c r="E14" s="84">
        <v>6700000</v>
      </c>
      <c r="H14" s="86" t="s">
        <v>837</v>
      </c>
      <c r="I14" s="87">
        <v>2200000</v>
      </c>
      <c r="K14" s="89" t="s">
        <v>837</v>
      </c>
      <c r="L14" s="90">
        <v>2200000</v>
      </c>
    </row>
    <row r="15" spans="1:16">
      <c r="A15" s="69" t="s">
        <v>881</v>
      </c>
      <c r="B15" s="69">
        <v>44713</v>
      </c>
      <c r="C15" s="69" t="s">
        <v>863</v>
      </c>
      <c r="D15" s="69" t="s">
        <v>882</v>
      </c>
      <c r="E15" s="84">
        <v>-4500000</v>
      </c>
      <c r="H15" s="86" t="s">
        <v>838</v>
      </c>
      <c r="I15" s="87">
        <v>3900000</v>
      </c>
      <c r="K15" s="89" t="s">
        <v>838</v>
      </c>
      <c r="L15" s="90">
        <v>3900000</v>
      </c>
    </row>
    <row r="16" spans="1:16">
      <c r="A16" s="69" t="s">
        <v>883</v>
      </c>
      <c r="B16" s="69">
        <v>44727</v>
      </c>
      <c r="C16" s="69" t="s">
        <v>732</v>
      </c>
      <c r="D16" s="69" t="s">
        <v>884</v>
      </c>
      <c r="E16" s="84">
        <v>3900000</v>
      </c>
      <c r="H16" s="86" t="s">
        <v>909</v>
      </c>
      <c r="I16" s="87">
        <v>5200000</v>
      </c>
      <c r="K16" s="89" t="s">
        <v>909</v>
      </c>
      <c r="L16" s="90">
        <v>5200000</v>
      </c>
    </row>
    <row r="17" spans="1:12">
      <c r="A17" s="69" t="s">
        <v>885</v>
      </c>
      <c r="B17" s="69">
        <v>44743</v>
      </c>
      <c r="C17" s="69" t="s">
        <v>863</v>
      </c>
      <c r="D17" s="69" t="s">
        <v>886</v>
      </c>
      <c r="E17" s="84">
        <v>-1700000</v>
      </c>
      <c r="H17" s="86" t="s">
        <v>910</v>
      </c>
      <c r="I17" s="87">
        <v>6200000</v>
      </c>
      <c r="K17" s="89" t="s">
        <v>910</v>
      </c>
      <c r="L17" s="90">
        <v>6200000</v>
      </c>
    </row>
    <row r="18" spans="1:12">
      <c r="A18" s="69" t="s">
        <v>887</v>
      </c>
      <c r="B18" s="69">
        <v>44762</v>
      </c>
      <c r="C18" s="69" t="s">
        <v>732</v>
      </c>
      <c r="D18" s="69" t="s">
        <v>888</v>
      </c>
      <c r="E18" s="84">
        <v>5600000</v>
      </c>
      <c r="H18" s="86" t="s">
        <v>848</v>
      </c>
      <c r="I18" s="87">
        <v>42300000</v>
      </c>
      <c r="K18" s="91" t="s">
        <v>848</v>
      </c>
      <c r="L18" s="92">
        <v>42300000</v>
      </c>
    </row>
    <row r="19" spans="1:12">
      <c r="A19" s="69" t="s">
        <v>889</v>
      </c>
      <c r="B19" s="69">
        <v>44778</v>
      </c>
      <c r="C19" s="69" t="s">
        <v>863</v>
      </c>
      <c r="D19" s="69" t="s">
        <v>890</v>
      </c>
      <c r="E19" s="84">
        <v>-3200000</v>
      </c>
    </row>
    <row r="20" spans="1:12">
      <c r="A20" s="69" t="s">
        <v>891</v>
      </c>
      <c r="B20" s="69">
        <v>44788</v>
      </c>
      <c r="C20" s="69" t="s">
        <v>732</v>
      </c>
      <c r="D20" s="69" t="s">
        <v>892</v>
      </c>
      <c r="E20" s="84">
        <v>7200000</v>
      </c>
    </row>
    <row r="21" spans="1:12">
      <c r="A21" s="69" t="s">
        <v>893</v>
      </c>
      <c r="B21" s="69">
        <v>44814</v>
      </c>
      <c r="C21" s="69" t="s">
        <v>863</v>
      </c>
      <c r="D21" s="69" t="s">
        <v>894</v>
      </c>
      <c r="E21" s="84">
        <v>-2100000</v>
      </c>
    </row>
    <row r="22" spans="1:12">
      <c r="A22" s="69" t="s">
        <v>895</v>
      </c>
      <c r="B22" s="69">
        <v>44824</v>
      </c>
      <c r="C22" s="69" t="s">
        <v>732</v>
      </c>
      <c r="D22" s="69" t="s">
        <v>896</v>
      </c>
      <c r="E22" s="84">
        <v>4300000</v>
      </c>
    </row>
    <row r="23" spans="1:12">
      <c r="A23" s="69" t="s">
        <v>897</v>
      </c>
      <c r="B23" s="69">
        <v>44835</v>
      </c>
      <c r="C23" s="69" t="s">
        <v>863</v>
      </c>
      <c r="D23" s="69" t="s">
        <v>898</v>
      </c>
      <c r="E23" s="84">
        <v>-1900000</v>
      </c>
    </row>
    <row r="24" spans="1:12">
      <c r="A24" s="69" t="s">
        <v>899</v>
      </c>
      <c r="B24" s="69">
        <v>44849</v>
      </c>
      <c r="C24" s="69" t="s">
        <v>732</v>
      </c>
      <c r="D24" s="69" t="s">
        <v>900</v>
      </c>
      <c r="E24" s="84">
        <v>5800000</v>
      </c>
    </row>
    <row r="25" spans="1:12">
      <c r="A25" s="69" t="s">
        <v>901</v>
      </c>
      <c r="B25" s="69">
        <v>44870</v>
      </c>
      <c r="C25" s="69" t="s">
        <v>863</v>
      </c>
      <c r="D25" s="69" t="s">
        <v>902</v>
      </c>
      <c r="E25" s="84">
        <v>-1200000</v>
      </c>
    </row>
    <row r="26" spans="1:12">
      <c r="A26" s="69" t="s">
        <v>903</v>
      </c>
      <c r="B26" s="69">
        <v>44885</v>
      </c>
      <c r="C26" s="69" t="s">
        <v>732</v>
      </c>
      <c r="D26" s="69" t="s">
        <v>904</v>
      </c>
      <c r="E26" s="84">
        <v>6400000</v>
      </c>
    </row>
    <row r="27" spans="1:12">
      <c r="A27" s="69" t="s">
        <v>905</v>
      </c>
      <c r="B27" s="69">
        <v>44896</v>
      </c>
      <c r="C27" s="69" t="s">
        <v>863</v>
      </c>
      <c r="D27" s="69" t="s">
        <v>906</v>
      </c>
      <c r="E27" s="84">
        <v>-2800000</v>
      </c>
    </row>
    <row r="28" spans="1:12">
      <c r="A28" s="69" t="s">
        <v>907</v>
      </c>
      <c r="B28" s="69">
        <v>44915</v>
      </c>
      <c r="C28" s="69" t="s">
        <v>732</v>
      </c>
      <c r="D28" s="69" t="s">
        <v>908</v>
      </c>
      <c r="E28" s="84">
        <v>9000000</v>
      </c>
    </row>
  </sheetData>
  <phoneticPr fontId="3" type="noConversion"/>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FDF3-1CBE-444E-AB78-FB6EB977DF28}">
  <sheetPr codeName="Sheet12"/>
  <dimension ref="A1:N503"/>
  <sheetViews>
    <sheetView showGridLines="0" workbookViewId="0">
      <selection activeCell="A3" sqref="A3"/>
    </sheetView>
  </sheetViews>
  <sheetFormatPr baseColWidth="10" defaultColWidth="8.83203125" defaultRowHeight="14"/>
  <cols>
    <col min="8" max="8" width="9.83203125" bestFit="1" customWidth="1"/>
    <col min="12" max="12" width="12.5" bestFit="1" customWidth="1"/>
    <col min="13" max="13" width="15.83203125" bestFit="1" customWidth="1"/>
    <col min="14" max="14" width="17.1640625" bestFit="1" customWidth="1"/>
  </cols>
  <sheetData>
    <row r="1" spans="1:14" s="122" customFormat="1" ht="30" customHeight="1"/>
    <row r="2" spans="1:14" s="128" customFormat="1" ht="5.5" customHeight="1"/>
    <row r="3" spans="1:14" ht="15">
      <c r="A3" s="55" t="s">
        <v>778</v>
      </c>
      <c r="B3" s="56" t="s">
        <v>779</v>
      </c>
      <c r="C3" s="56" t="s">
        <v>780</v>
      </c>
      <c r="D3" s="56" t="s">
        <v>781</v>
      </c>
      <c r="E3" s="56" t="s">
        <v>732</v>
      </c>
      <c r="F3" s="56" t="s">
        <v>782</v>
      </c>
      <c r="G3" s="56" t="s">
        <v>783</v>
      </c>
      <c r="H3" s="68" t="s">
        <v>784</v>
      </c>
      <c r="I3" s="56" t="s">
        <v>785</v>
      </c>
      <c r="J3" s="56" t="s">
        <v>786</v>
      </c>
    </row>
    <row r="4" spans="1:14" ht="15">
      <c r="A4" s="58" t="s">
        <v>743</v>
      </c>
      <c r="B4" s="58" t="s">
        <v>787</v>
      </c>
      <c r="C4" s="58" t="s">
        <v>788</v>
      </c>
      <c r="D4" s="58" t="s">
        <v>789</v>
      </c>
      <c r="E4" s="58">
        <v>861211</v>
      </c>
      <c r="F4" s="58">
        <v>96</v>
      </c>
      <c r="G4" s="58">
        <v>80611</v>
      </c>
      <c r="H4" s="69">
        <v>44684</v>
      </c>
      <c r="I4" s="88">
        <v>0.13</v>
      </c>
      <c r="J4" s="58">
        <v>920333.04</v>
      </c>
    </row>
    <row r="5" spans="1:14" ht="15">
      <c r="A5" s="58" t="s">
        <v>749</v>
      </c>
      <c r="B5" s="58" t="s">
        <v>790</v>
      </c>
      <c r="C5" s="58" t="s">
        <v>788</v>
      </c>
      <c r="D5" s="58" t="s">
        <v>791</v>
      </c>
      <c r="E5" s="58">
        <v>1118870</v>
      </c>
      <c r="F5" s="58">
        <v>59</v>
      </c>
      <c r="G5" s="58">
        <v>16478</v>
      </c>
      <c r="H5" s="69">
        <v>44569</v>
      </c>
      <c r="I5" s="88">
        <v>0.03</v>
      </c>
      <c r="J5" s="58">
        <v>617364.39</v>
      </c>
    </row>
    <row r="6" spans="1:14" ht="15">
      <c r="A6" s="58" t="s">
        <v>740</v>
      </c>
      <c r="B6" s="58" t="s">
        <v>792</v>
      </c>
      <c r="C6" s="58" t="s">
        <v>793</v>
      </c>
      <c r="D6" s="58" t="s">
        <v>791</v>
      </c>
      <c r="E6" s="58">
        <v>2156014</v>
      </c>
      <c r="F6" s="58">
        <v>20</v>
      </c>
      <c r="G6" s="58">
        <v>117588</v>
      </c>
      <c r="H6" s="69">
        <v>44968</v>
      </c>
      <c r="I6" s="88">
        <v>0.15</v>
      </c>
      <c r="J6" s="58">
        <v>795395.52</v>
      </c>
      <c r="L6" s="77" t="s">
        <v>847</v>
      </c>
      <c r="M6" t="s">
        <v>852</v>
      </c>
      <c r="N6" t="s">
        <v>912</v>
      </c>
    </row>
    <row r="7" spans="1:14" ht="15">
      <c r="A7" s="58" t="s">
        <v>741</v>
      </c>
      <c r="B7" s="58" t="s">
        <v>787</v>
      </c>
      <c r="C7" s="58" t="s">
        <v>793</v>
      </c>
      <c r="D7" s="58" t="s">
        <v>789</v>
      </c>
      <c r="E7" s="58">
        <v>4539351</v>
      </c>
      <c r="F7" s="58">
        <v>20</v>
      </c>
      <c r="G7" s="58">
        <v>431168</v>
      </c>
      <c r="H7" s="69">
        <v>45537</v>
      </c>
      <c r="I7" s="88">
        <v>0.01</v>
      </c>
      <c r="J7" s="58">
        <v>1276152.46</v>
      </c>
      <c r="L7" s="78" t="s">
        <v>913</v>
      </c>
      <c r="M7">
        <v>82697336.810000002</v>
      </c>
      <c r="N7">
        <v>2227</v>
      </c>
    </row>
    <row r="8" spans="1:14" ht="15">
      <c r="A8" s="58" t="s">
        <v>743</v>
      </c>
      <c r="B8" s="58" t="s">
        <v>794</v>
      </c>
      <c r="C8" s="58" t="s">
        <v>795</v>
      </c>
      <c r="D8" s="58" t="s">
        <v>796</v>
      </c>
      <c r="E8" s="58">
        <v>1050132</v>
      </c>
      <c r="F8" s="58">
        <v>55</v>
      </c>
      <c r="G8" s="58">
        <v>50209</v>
      </c>
      <c r="H8" s="69">
        <v>44629</v>
      </c>
      <c r="I8" s="88">
        <v>0.41</v>
      </c>
      <c r="J8" s="58">
        <v>3374022.28</v>
      </c>
      <c r="L8" s="78" t="s">
        <v>914</v>
      </c>
      <c r="M8">
        <v>76647039.070000008</v>
      </c>
      <c r="N8">
        <v>2216</v>
      </c>
    </row>
    <row r="9" spans="1:14" ht="15">
      <c r="A9" s="58" t="s">
        <v>743</v>
      </c>
      <c r="B9" s="58" t="s">
        <v>797</v>
      </c>
      <c r="C9" s="58" t="s">
        <v>798</v>
      </c>
      <c r="D9" s="58" t="s">
        <v>791</v>
      </c>
      <c r="E9" s="58">
        <v>4805725</v>
      </c>
      <c r="F9" s="58">
        <v>71</v>
      </c>
      <c r="G9" s="58">
        <v>2560</v>
      </c>
      <c r="H9" s="69">
        <v>44572</v>
      </c>
      <c r="I9" s="88">
        <v>0.32</v>
      </c>
      <c r="J9" s="58">
        <v>1600411.98</v>
      </c>
      <c r="L9" s="78" t="s">
        <v>915</v>
      </c>
      <c r="M9">
        <v>87120442.409999996</v>
      </c>
      <c r="N9">
        <v>2291</v>
      </c>
    </row>
    <row r="10" spans="1:14" ht="15">
      <c r="A10" s="58" t="s">
        <v>745</v>
      </c>
      <c r="B10" s="58" t="s">
        <v>794</v>
      </c>
      <c r="C10" s="58" t="s">
        <v>799</v>
      </c>
      <c r="D10" s="58" t="s">
        <v>800</v>
      </c>
      <c r="E10" s="58">
        <v>2523822</v>
      </c>
      <c r="F10" s="58">
        <v>35</v>
      </c>
      <c r="G10" s="58">
        <v>298700</v>
      </c>
      <c r="H10" s="69">
        <v>44666</v>
      </c>
      <c r="I10" s="88">
        <v>0.18</v>
      </c>
      <c r="J10" s="58">
        <v>2009741.76</v>
      </c>
      <c r="L10" s="78" t="s">
        <v>916</v>
      </c>
      <c r="M10">
        <v>125057858.76000002</v>
      </c>
      <c r="N10">
        <v>3019</v>
      </c>
    </row>
    <row r="11" spans="1:14" ht="15">
      <c r="A11" s="58" t="s">
        <v>749</v>
      </c>
      <c r="B11" s="58" t="s">
        <v>797</v>
      </c>
      <c r="C11" s="58" t="s">
        <v>795</v>
      </c>
      <c r="D11" s="58" t="s">
        <v>801</v>
      </c>
      <c r="E11" s="58">
        <v>603228</v>
      </c>
      <c r="F11" s="58">
        <v>75</v>
      </c>
      <c r="G11" s="58">
        <v>168597</v>
      </c>
      <c r="H11" s="69">
        <v>44573</v>
      </c>
      <c r="I11" s="88">
        <v>0.17</v>
      </c>
      <c r="J11" s="58">
        <v>541009.43999999994</v>
      </c>
      <c r="L11" s="78" t="s">
        <v>917</v>
      </c>
      <c r="M11">
        <v>78653370.660000011</v>
      </c>
      <c r="N11">
        <v>1994</v>
      </c>
    </row>
    <row r="12" spans="1:14" ht="15">
      <c r="A12" s="58" t="s">
        <v>741</v>
      </c>
      <c r="B12" s="58" t="s">
        <v>802</v>
      </c>
      <c r="C12" s="58" t="s">
        <v>798</v>
      </c>
      <c r="D12" s="58" t="s">
        <v>803</v>
      </c>
      <c r="E12" s="58">
        <v>3920665</v>
      </c>
      <c r="F12" s="58">
        <v>77</v>
      </c>
      <c r="G12" s="58">
        <v>333393</v>
      </c>
      <c r="H12" s="69">
        <v>45000</v>
      </c>
      <c r="I12" s="88">
        <v>0.17</v>
      </c>
      <c r="J12" s="58">
        <v>1408342.08</v>
      </c>
      <c r="L12" s="78" t="s">
        <v>918</v>
      </c>
      <c r="M12">
        <v>103022227.64999999</v>
      </c>
      <c r="N12">
        <v>2442</v>
      </c>
    </row>
    <row r="13" spans="1:14" ht="15">
      <c r="A13" s="58" t="s">
        <v>744</v>
      </c>
      <c r="B13" s="58" t="s">
        <v>787</v>
      </c>
      <c r="C13" s="58" t="s">
        <v>798</v>
      </c>
      <c r="D13" s="58" t="s">
        <v>791</v>
      </c>
      <c r="E13" s="58">
        <v>2300862</v>
      </c>
      <c r="F13" s="58">
        <v>51</v>
      </c>
      <c r="G13" s="58">
        <v>226845</v>
      </c>
      <c r="H13" s="69">
        <v>45195</v>
      </c>
      <c r="I13" s="88">
        <v>0.34</v>
      </c>
      <c r="J13" s="58">
        <v>1752319.2</v>
      </c>
      <c r="L13" s="78" t="s">
        <v>919</v>
      </c>
      <c r="M13">
        <v>89124494.539999977</v>
      </c>
      <c r="N13">
        <v>2542</v>
      </c>
    </row>
    <row r="14" spans="1:14" ht="15">
      <c r="A14" s="58" t="s">
        <v>743</v>
      </c>
      <c r="B14" s="58" t="s">
        <v>804</v>
      </c>
      <c r="C14" s="58" t="s">
        <v>799</v>
      </c>
      <c r="D14" s="58" t="s">
        <v>805</v>
      </c>
      <c r="E14" s="58">
        <v>994915</v>
      </c>
      <c r="F14" s="58">
        <v>52</v>
      </c>
      <c r="G14" s="58">
        <v>160697</v>
      </c>
      <c r="H14" s="69">
        <v>44974</v>
      </c>
      <c r="I14" s="88">
        <v>0.14000000000000001</v>
      </c>
      <c r="J14" s="58">
        <v>210786.71</v>
      </c>
      <c r="L14" s="78" t="s">
        <v>920</v>
      </c>
      <c r="M14">
        <v>108355437.75</v>
      </c>
      <c r="N14">
        <v>3043</v>
      </c>
    </row>
    <row r="15" spans="1:14" ht="15">
      <c r="A15" s="58" t="s">
        <v>743</v>
      </c>
      <c r="B15" s="58" t="s">
        <v>797</v>
      </c>
      <c r="C15" s="58" t="s">
        <v>795</v>
      </c>
      <c r="D15" s="58" t="s">
        <v>806</v>
      </c>
      <c r="E15" s="58">
        <v>586391</v>
      </c>
      <c r="F15" s="58">
        <v>76</v>
      </c>
      <c r="G15" s="58">
        <v>112153</v>
      </c>
      <c r="H15" s="69">
        <v>44848</v>
      </c>
      <c r="I15" s="88">
        <v>0.24</v>
      </c>
      <c r="J15" s="58">
        <v>50580</v>
      </c>
      <c r="L15" s="78" t="s">
        <v>921</v>
      </c>
      <c r="M15">
        <v>90843064.150000006</v>
      </c>
      <c r="N15">
        <v>2485</v>
      </c>
    </row>
    <row r="16" spans="1:14" ht="15">
      <c r="A16" s="58" t="s">
        <v>747</v>
      </c>
      <c r="B16" s="58" t="s">
        <v>790</v>
      </c>
      <c r="C16" s="58" t="s">
        <v>807</v>
      </c>
      <c r="D16" s="58" t="s">
        <v>791</v>
      </c>
      <c r="E16" s="58">
        <v>2130912</v>
      </c>
      <c r="F16" s="58">
        <v>25</v>
      </c>
      <c r="G16" s="58">
        <v>275809</v>
      </c>
      <c r="H16" s="69">
        <v>44789</v>
      </c>
      <c r="I16" s="88">
        <v>0.25</v>
      </c>
      <c r="J16" s="58">
        <v>3055064.32</v>
      </c>
      <c r="L16" s="78" t="s">
        <v>922</v>
      </c>
      <c r="M16">
        <v>98422258.420000017</v>
      </c>
      <c r="N16">
        <v>2752</v>
      </c>
    </row>
    <row r="17" spans="1:14" ht="15">
      <c r="A17" s="58" t="s">
        <v>747</v>
      </c>
      <c r="B17" s="58" t="s">
        <v>808</v>
      </c>
      <c r="C17" s="58" t="s">
        <v>809</v>
      </c>
      <c r="D17" s="58" t="s">
        <v>810</v>
      </c>
      <c r="E17" s="58">
        <v>2713130</v>
      </c>
      <c r="F17" s="58">
        <v>54</v>
      </c>
      <c r="G17" s="58">
        <v>243012</v>
      </c>
      <c r="H17" s="69">
        <v>45646</v>
      </c>
      <c r="I17" s="88">
        <v>0.23</v>
      </c>
      <c r="J17" s="58">
        <v>2066000.72</v>
      </c>
      <c r="L17" s="78" t="s">
        <v>848</v>
      </c>
      <c r="M17">
        <v>939943530.22000003</v>
      </c>
      <c r="N17">
        <v>25011</v>
      </c>
    </row>
    <row r="18" spans="1:14" ht="15">
      <c r="A18" s="58" t="s">
        <v>742</v>
      </c>
      <c r="B18" s="58" t="s">
        <v>808</v>
      </c>
      <c r="C18" s="58" t="s">
        <v>788</v>
      </c>
      <c r="D18" s="58" t="s">
        <v>796</v>
      </c>
      <c r="E18" s="58">
        <v>808568</v>
      </c>
      <c r="F18" s="58">
        <v>24</v>
      </c>
      <c r="G18" s="58">
        <v>456771</v>
      </c>
      <c r="H18" s="69">
        <v>45095</v>
      </c>
      <c r="I18" s="88">
        <v>0.2</v>
      </c>
      <c r="J18" s="58">
        <v>1196733.3999999999</v>
      </c>
    </row>
    <row r="19" spans="1:14" ht="15">
      <c r="A19" s="58" t="s">
        <v>740</v>
      </c>
      <c r="B19" s="58" t="s">
        <v>797</v>
      </c>
      <c r="C19" s="58" t="s">
        <v>793</v>
      </c>
      <c r="D19" s="58" t="s">
        <v>791</v>
      </c>
      <c r="E19" s="58">
        <v>3086430</v>
      </c>
      <c r="F19" s="58">
        <v>22</v>
      </c>
      <c r="G19" s="58">
        <v>299659</v>
      </c>
      <c r="H19" s="69">
        <v>44658</v>
      </c>
      <c r="I19" s="88">
        <v>0.45</v>
      </c>
      <c r="J19" s="58">
        <v>418409.64</v>
      </c>
    </row>
    <row r="20" spans="1:14" ht="15">
      <c r="A20" s="58" t="s">
        <v>744</v>
      </c>
      <c r="B20" s="58" t="s">
        <v>809</v>
      </c>
      <c r="C20" s="58" t="s">
        <v>788</v>
      </c>
      <c r="D20" s="58" t="s">
        <v>811</v>
      </c>
      <c r="E20" s="58">
        <v>4249078</v>
      </c>
      <c r="F20" s="58">
        <v>18</v>
      </c>
      <c r="G20" s="58">
        <v>157389</v>
      </c>
      <c r="H20" s="69">
        <v>45282</v>
      </c>
      <c r="I20" s="88">
        <v>0.38</v>
      </c>
      <c r="J20" s="58">
        <v>2390881.7999999998</v>
      </c>
    </row>
    <row r="21" spans="1:14" ht="15">
      <c r="A21" s="58" t="s">
        <v>745</v>
      </c>
      <c r="B21" s="58" t="s">
        <v>797</v>
      </c>
      <c r="C21" s="58" t="s">
        <v>788</v>
      </c>
      <c r="D21" s="58" t="s">
        <v>791</v>
      </c>
      <c r="E21" s="58">
        <v>1825475</v>
      </c>
      <c r="F21" s="58">
        <v>36</v>
      </c>
      <c r="G21" s="58">
        <v>333350</v>
      </c>
      <c r="H21" s="69">
        <v>45600</v>
      </c>
      <c r="I21" s="88">
        <v>0.46</v>
      </c>
      <c r="J21" s="58">
        <v>1854706.12</v>
      </c>
    </row>
    <row r="22" spans="1:14" ht="15">
      <c r="A22" s="58" t="s">
        <v>745</v>
      </c>
      <c r="B22" s="58" t="s">
        <v>794</v>
      </c>
      <c r="C22" s="58" t="s">
        <v>793</v>
      </c>
      <c r="D22" s="58" t="s">
        <v>810</v>
      </c>
      <c r="E22" s="58">
        <v>2044411</v>
      </c>
      <c r="F22" s="58">
        <v>33</v>
      </c>
      <c r="G22" s="58">
        <v>386112</v>
      </c>
      <c r="H22" s="69">
        <v>44774</v>
      </c>
      <c r="I22" s="88">
        <v>0.43</v>
      </c>
      <c r="J22" s="58">
        <v>2312092.7200000002</v>
      </c>
    </row>
    <row r="23" spans="1:14" ht="15">
      <c r="A23" s="58" t="s">
        <v>745</v>
      </c>
      <c r="B23" s="58" t="s">
        <v>808</v>
      </c>
      <c r="C23" s="58" t="s">
        <v>807</v>
      </c>
      <c r="D23" s="58" t="s">
        <v>812</v>
      </c>
      <c r="E23" s="58">
        <v>2105761</v>
      </c>
      <c r="F23" s="58">
        <v>64</v>
      </c>
      <c r="G23" s="58">
        <v>78948</v>
      </c>
      <c r="H23" s="69">
        <v>45264</v>
      </c>
      <c r="I23" s="88">
        <v>0.17</v>
      </c>
      <c r="J23" s="58">
        <v>23983.05</v>
      </c>
    </row>
    <row r="24" spans="1:14" ht="15">
      <c r="A24" s="58" t="s">
        <v>744</v>
      </c>
      <c r="B24" s="58" t="s">
        <v>802</v>
      </c>
      <c r="C24" s="58" t="s">
        <v>798</v>
      </c>
      <c r="D24" s="58" t="s">
        <v>801</v>
      </c>
      <c r="E24" s="58">
        <v>4897155</v>
      </c>
      <c r="F24" s="58">
        <v>69</v>
      </c>
      <c r="G24" s="58">
        <v>318532</v>
      </c>
      <c r="H24" s="69">
        <v>44744</v>
      </c>
      <c r="I24" s="88">
        <v>0.24</v>
      </c>
      <c r="J24" s="58">
        <v>1244687.25</v>
      </c>
    </row>
    <row r="25" spans="1:14" ht="15">
      <c r="A25" s="58" t="s">
        <v>744</v>
      </c>
      <c r="B25" s="58" t="s">
        <v>794</v>
      </c>
      <c r="C25" s="58" t="s">
        <v>788</v>
      </c>
      <c r="D25" s="58" t="s">
        <v>813</v>
      </c>
      <c r="E25" s="58">
        <v>3246622</v>
      </c>
      <c r="F25" s="58">
        <v>70</v>
      </c>
      <c r="G25" s="58">
        <v>204652</v>
      </c>
      <c r="H25" s="69">
        <v>45330</v>
      </c>
      <c r="I25" s="88">
        <v>0.17</v>
      </c>
      <c r="J25" s="58">
        <v>1087602.6000000001</v>
      </c>
    </row>
    <row r="26" spans="1:14" ht="15">
      <c r="A26" s="58" t="s">
        <v>742</v>
      </c>
      <c r="B26" s="58" t="s">
        <v>792</v>
      </c>
      <c r="C26" s="58" t="s">
        <v>798</v>
      </c>
      <c r="D26" s="58" t="s">
        <v>805</v>
      </c>
      <c r="E26" s="58">
        <v>1069605</v>
      </c>
      <c r="F26" s="58">
        <v>39</v>
      </c>
      <c r="G26" s="58">
        <v>47902</v>
      </c>
      <c r="H26" s="69">
        <v>45295</v>
      </c>
      <c r="I26" s="88">
        <v>0.37</v>
      </c>
      <c r="J26" s="58">
        <v>3447808.4</v>
      </c>
    </row>
    <row r="27" spans="1:14" ht="15">
      <c r="A27" s="58" t="s">
        <v>743</v>
      </c>
      <c r="B27" s="58" t="s">
        <v>814</v>
      </c>
      <c r="C27" s="58" t="s">
        <v>799</v>
      </c>
      <c r="D27" s="58" t="s">
        <v>789</v>
      </c>
      <c r="E27" s="58">
        <v>4561637</v>
      </c>
      <c r="F27" s="58">
        <v>16</v>
      </c>
      <c r="G27" s="58">
        <v>91208</v>
      </c>
      <c r="H27" s="69">
        <v>44904</v>
      </c>
      <c r="I27" s="88">
        <v>0.06</v>
      </c>
      <c r="J27" s="58">
        <v>1238477.8799999999</v>
      </c>
    </row>
    <row r="28" spans="1:14" ht="15">
      <c r="A28" s="58" t="s">
        <v>745</v>
      </c>
      <c r="B28" s="58" t="s">
        <v>804</v>
      </c>
      <c r="C28" s="58" t="s">
        <v>788</v>
      </c>
      <c r="D28" s="58" t="s">
        <v>811</v>
      </c>
      <c r="E28" s="58">
        <v>2749600</v>
      </c>
      <c r="F28" s="58">
        <v>79</v>
      </c>
      <c r="G28" s="58">
        <v>331016</v>
      </c>
      <c r="H28" s="69">
        <v>45181</v>
      </c>
      <c r="I28" s="88">
        <v>0.49</v>
      </c>
      <c r="J28" s="58">
        <v>353556.63</v>
      </c>
    </row>
    <row r="29" spans="1:14" ht="15">
      <c r="A29" s="58" t="s">
        <v>749</v>
      </c>
      <c r="B29" s="58" t="s">
        <v>792</v>
      </c>
      <c r="C29" s="58" t="s">
        <v>788</v>
      </c>
      <c r="D29" s="58" t="s">
        <v>801</v>
      </c>
      <c r="E29" s="58">
        <v>3651270</v>
      </c>
      <c r="F29" s="58">
        <v>57</v>
      </c>
      <c r="G29" s="58">
        <v>323644</v>
      </c>
      <c r="H29" s="69">
        <v>45647</v>
      </c>
      <c r="I29" s="88">
        <v>0.38</v>
      </c>
      <c r="J29" s="58">
        <v>658268.52</v>
      </c>
    </row>
    <row r="30" spans="1:14" ht="15">
      <c r="A30" s="58" t="s">
        <v>749</v>
      </c>
      <c r="B30" s="58" t="s">
        <v>787</v>
      </c>
      <c r="C30" s="58" t="s">
        <v>795</v>
      </c>
      <c r="D30" s="58" t="s">
        <v>803</v>
      </c>
      <c r="E30" s="58">
        <v>3961691</v>
      </c>
      <c r="F30" s="58">
        <v>52</v>
      </c>
      <c r="G30" s="58">
        <v>266834</v>
      </c>
      <c r="H30" s="69">
        <v>45287</v>
      </c>
      <c r="I30" s="88">
        <v>0.32</v>
      </c>
      <c r="J30" s="58">
        <v>1043209.5</v>
      </c>
    </row>
    <row r="31" spans="1:14" ht="15">
      <c r="A31" s="58" t="s">
        <v>749</v>
      </c>
      <c r="B31" s="58" t="s">
        <v>794</v>
      </c>
      <c r="C31" s="58" t="s">
        <v>788</v>
      </c>
      <c r="D31" s="58" t="s">
        <v>800</v>
      </c>
      <c r="E31" s="58">
        <v>1835725</v>
      </c>
      <c r="F31" s="58">
        <v>67</v>
      </c>
      <c r="G31" s="58">
        <v>291816</v>
      </c>
      <c r="H31" s="69">
        <v>45447</v>
      </c>
      <c r="I31" s="88">
        <v>0.43</v>
      </c>
      <c r="J31" s="58">
        <v>3067831.77</v>
      </c>
    </row>
    <row r="32" spans="1:14" ht="15">
      <c r="A32" s="58" t="s">
        <v>744</v>
      </c>
      <c r="B32" s="58" t="s">
        <v>792</v>
      </c>
      <c r="C32" s="58" t="s">
        <v>807</v>
      </c>
      <c r="D32" s="58" t="s">
        <v>813</v>
      </c>
      <c r="E32" s="58">
        <v>3922417</v>
      </c>
      <c r="F32" s="58">
        <v>79</v>
      </c>
      <c r="G32" s="58">
        <v>312498</v>
      </c>
      <c r="H32" s="69">
        <v>45073</v>
      </c>
      <c r="I32" s="88">
        <v>0.44</v>
      </c>
      <c r="J32" s="58">
        <v>1093755.8999999999</v>
      </c>
    </row>
    <row r="33" spans="1:10" ht="15">
      <c r="A33" s="58" t="s">
        <v>749</v>
      </c>
      <c r="B33" s="58" t="s">
        <v>790</v>
      </c>
      <c r="C33" s="58" t="s">
        <v>799</v>
      </c>
      <c r="D33" s="58" t="s">
        <v>803</v>
      </c>
      <c r="E33" s="58">
        <v>4772527</v>
      </c>
      <c r="F33" s="58">
        <v>15</v>
      </c>
      <c r="G33" s="58">
        <v>132183</v>
      </c>
      <c r="H33" s="69">
        <v>45011</v>
      </c>
      <c r="I33" s="88">
        <v>0.44</v>
      </c>
      <c r="J33" s="58">
        <v>333222.89</v>
      </c>
    </row>
    <row r="34" spans="1:10" ht="15">
      <c r="A34" s="58" t="s">
        <v>742</v>
      </c>
      <c r="B34" s="58" t="s">
        <v>794</v>
      </c>
      <c r="C34" s="58" t="s">
        <v>809</v>
      </c>
      <c r="D34" s="58" t="s">
        <v>805</v>
      </c>
      <c r="E34" s="58">
        <v>4340492</v>
      </c>
      <c r="F34" s="58">
        <v>48</v>
      </c>
      <c r="G34" s="58">
        <v>189575</v>
      </c>
      <c r="H34" s="69">
        <v>45149</v>
      </c>
      <c r="I34" s="88">
        <v>0.01</v>
      </c>
      <c r="J34" s="58">
        <v>1667168.96</v>
      </c>
    </row>
    <row r="35" spans="1:10" ht="15">
      <c r="A35" s="58" t="s">
        <v>744</v>
      </c>
      <c r="B35" s="58" t="s">
        <v>814</v>
      </c>
      <c r="C35" s="58" t="s">
        <v>795</v>
      </c>
      <c r="D35" s="58" t="s">
        <v>805</v>
      </c>
      <c r="E35" s="58">
        <v>1910421</v>
      </c>
      <c r="F35" s="58">
        <v>9</v>
      </c>
      <c r="G35" s="58">
        <v>34228</v>
      </c>
      <c r="H35" s="69">
        <v>45358</v>
      </c>
      <c r="I35" s="88">
        <v>0.35</v>
      </c>
      <c r="J35" s="58">
        <v>1591237.44</v>
      </c>
    </row>
    <row r="36" spans="1:10" ht="15">
      <c r="A36" s="58" t="s">
        <v>745</v>
      </c>
      <c r="B36" s="58" t="s">
        <v>790</v>
      </c>
      <c r="C36" s="58" t="s">
        <v>795</v>
      </c>
      <c r="D36" s="58" t="s">
        <v>812</v>
      </c>
      <c r="E36" s="58">
        <v>1201586</v>
      </c>
      <c r="F36" s="58">
        <v>68</v>
      </c>
      <c r="G36" s="58">
        <v>59535</v>
      </c>
      <c r="H36" s="69">
        <v>45451</v>
      </c>
      <c r="I36" s="88">
        <v>0.31</v>
      </c>
      <c r="J36" s="58">
        <v>2311118.7200000002</v>
      </c>
    </row>
    <row r="37" spans="1:10" ht="15">
      <c r="A37" s="58" t="s">
        <v>740</v>
      </c>
      <c r="B37" s="58" t="s">
        <v>790</v>
      </c>
      <c r="C37" s="58" t="s">
        <v>798</v>
      </c>
      <c r="D37" s="58" t="s">
        <v>806</v>
      </c>
      <c r="E37" s="58">
        <v>1125765</v>
      </c>
      <c r="F37" s="58">
        <v>68</v>
      </c>
      <c r="G37" s="58">
        <v>175734</v>
      </c>
      <c r="H37" s="69">
        <v>44615</v>
      </c>
      <c r="I37" s="88">
        <v>0.3</v>
      </c>
      <c r="J37" s="58">
        <v>2000016.48</v>
      </c>
    </row>
    <row r="38" spans="1:10" ht="15">
      <c r="A38" s="58" t="s">
        <v>749</v>
      </c>
      <c r="B38" s="58" t="s">
        <v>797</v>
      </c>
      <c r="C38" s="58" t="s">
        <v>788</v>
      </c>
      <c r="D38" s="58" t="s">
        <v>791</v>
      </c>
      <c r="E38" s="58">
        <v>4530523</v>
      </c>
      <c r="F38" s="58">
        <v>36</v>
      </c>
      <c r="G38" s="58">
        <v>38106</v>
      </c>
      <c r="H38" s="69">
        <v>45532</v>
      </c>
      <c r="I38" s="88">
        <v>0.27</v>
      </c>
      <c r="J38" s="58">
        <v>2723328.85</v>
      </c>
    </row>
    <row r="39" spans="1:10" ht="15">
      <c r="A39" s="58" t="s">
        <v>746</v>
      </c>
      <c r="B39" s="58" t="s">
        <v>787</v>
      </c>
      <c r="C39" s="58" t="s">
        <v>795</v>
      </c>
      <c r="D39" s="58" t="s">
        <v>796</v>
      </c>
      <c r="E39" s="58">
        <v>4218622</v>
      </c>
      <c r="F39" s="58">
        <v>68</v>
      </c>
      <c r="G39" s="58">
        <v>58595</v>
      </c>
      <c r="H39" s="69">
        <v>45028</v>
      </c>
      <c r="I39" s="88">
        <v>0.45</v>
      </c>
      <c r="J39" s="58">
        <v>2498169.4</v>
      </c>
    </row>
    <row r="40" spans="1:10" ht="15">
      <c r="A40" s="58" t="s">
        <v>744</v>
      </c>
      <c r="B40" s="58" t="s">
        <v>797</v>
      </c>
      <c r="C40" s="58" t="s">
        <v>788</v>
      </c>
      <c r="D40" s="58" t="s">
        <v>789</v>
      </c>
      <c r="E40" s="58">
        <v>4087798</v>
      </c>
      <c r="F40" s="58">
        <v>19</v>
      </c>
      <c r="G40" s="58">
        <v>302910</v>
      </c>
      <c r="H40" s="69">
        <v>44816</v>
      </c>
      <c r="I40" s="88">
        <v>0.15</v>
      </c>
      <c r="J40" s="58">
        <v>691933.68</v>
      </c>
    </row>
    <row r="41" spans="1:10" ht="15">
      <c r="A41" s="58" t="s">
        <v>740</v>
      </c>
      <c r="B41" s="58" t="s">
        <v>814</v>
      </c>
      <c r="C41" s="58" t="s">
        <v>809</v>
      </c>
      <c r="D41" s="58" t="s">
        <v>805</v>
      </c>
      <c r="E41" s="58">
        <v>4541060</v>
      </c>
      <c r="F41" s="58">
        <v>90</v>
      </c>
      <c r="G41" s="58">
        <v>186740</v>
      </c>
      <c r="H41" s="69">
        <v>45266</v>
      </c>
      <c r="I41" s="88">
        <v>0.1</v>
      </c>
      <c r="J41" s="58">
        <v>2970157.12</v>
      </c>
    </row>
    <row r="42" spans="1:10" ht="15">
      <c r="A42" s="58" t="s">
        <v>749</v>
      </c>
      <c r="B42" s="58" t="s">
        <v>814</v>
      </c>
      <c r="C42" s="58" t="s">
        <v>788</v>
      </c>
      <c r="D42" s="58" t="s">
        <v>812</v>
      </c>
      <c r="E42" s="58">
        <v>2834665</v>
      </c>
      <c r="F42" s="58">
        <v>36</v>
      </c>
      <c r="G42" s="58">
        <v>117715</v>
      </c>
      <c r="H42" s="69">
        <v>45602</v>
      </c>
      <c r="I42" s="88">
        <v>0.14000000000000001</v>
      </c>
      <c r="J42" s="58">
        <v>1706114.9</v>
      </c>
    </row>
    <row r="43" spans="1:10" ht="15">
      <c r="A43" s="58" t="s">
        <v>746</v>
      </c>
      <c r="B43" s="58" t="s">
        <v>804</v>
      </c>
      <c r="C43" s="58" t="s">
        <v>788</v>
      </c>
      <c r="D43" s="58" t="s">
        <v>813</v>
      </c>
      <c r="E43" s="58">
        <v>1011183</v>
      </c>
      <c r="F43" s="58">
        <v>4</v>
      </c>
      <c r="G43" s="58">
        <v>226263</v>
      </c>
      <c r="H43" s="69">
        <v>45639</v>
      </c>
      <c r="I43" s="88">
        <v>0.28000000000000003</v>
      </c>
      <c r="J43" s="58">
        <v>1951570.4</v>
      </c>
    </row>
    <row r="44" spans="1:10" ht="15">
      <c r="A44" s="58" t="s">
        <v>741</v>
      </c>
      <c r="B44" s="58" t="s">
        <v>804</v>
      </c>
      <c r="C44" s="58" t="s">
        <v>809</v>
      </c>
      <c r="D44" s="58" t="s">
        <v>791</v>
      </c>
      <c r="E44" s="58">
        <v>3698239</v>
      </c>
      <c r="F44" s="58">
        <v>88</v>
      </c>
      <c r="G44" s="58">
        <v>473654</v>
      </c>
      <c r="H44" s="69">
        <v>44768</v>
      </c>
      <c r="I44" s="88">
        <v>0.28000000000000003</v>
      </c>
      <c r="J44" s="58">
        <v>3642141.72</v>
      </c>
    </row>
    <row r="45" spans="1:10" ht="15">
      <c r="A45" s="58" t="s">
        <v>748</v>
      </c>
      <c r="B45" s="58" t="s">
        <v>792</v>
      </c>
      <c r="C45" s="58" t="s">
        <v>788</v>
      </c>
      <c r="D45" s="58" t="s">
        <v>803</v>
      </c>
      <c r="E45" s="58">
        <v>2627265</v>
      </c>
      <c r="F45" s="58">
        <v>94</v>
      </c>
      <c r="G45" s="58">
        <v>132037</v>
      </c>
      <c r="H45" s="69">
        <v>44766</v>
      </c>
      <c r="I45" s="88">
        <v>0.2</v>
      </c>
      <c r="J45" s="58">
        <v>2440073.6800000002</v>
      </c>
    </row>
    <row r="46" spans="1:10" ht="15">
      <c r="A46" s="58" t="s">
        <v>749</v>
      </c>
      <c r="B46" s="58" t="s">
        <v>794</v>
      </c>
      <c r="C46" s="58" t="s">
        <v>807</v>
      </c>
      <c r="D46" s="58" t="s">
        <v>810</v>
      </c>
      <c r="E46" s="58">
        <v>4895055</v>
      </c>
      <c r="F46" s="58">
        <v>8</v>
      </c>
      <c r="G46" s="58">
        <v>166734</v>
      </c>
      <c r="H46" s="69">
        <v>44900</v>
      </c>
      <c r="I46" s="88">
        <v>0.05</v>
      </c>
      <c r="J46" s="58">
        <v>1294133.51</v>
      </c>
    </row>
    <row r="47" spans="1:10" ht="15">
      <c r="A47" s="58" t="s">
        <v>740</v>
      </c>
      <c r="B47" s="58" t="s">
        <v>787</v>
      </c>
      <c r="C47" s="58" t="s">
        <v>799</v>
      </c>
      <c r="D47" s="58" t="s">
        <v>796</v>
      </c>
      <c r="E47" s="58">
        <v>632679</v>
      </c>
      <c r="F47" s="58">
        <v>12</v>
      </c>
      <c r="G47" s="58">
        <v>495313</v>
      </c>
      <c r="H47" s="69">
        <v>44781</v>
      </c>
      <c r="I47" s="88">
        <v>0.11</v>
      </c>
      <c r="J47" s="58">
        <v>2779206.97</v>
      </c>
    </row>
    <row r="48" spans="1:10" ht="15">
      <c r="A48" s="58" t="s">
        <v>745</v>
      </c>
      <c r="B48" s="58" t="s">
        <v>797</v>
      </c>
      <c r="C48" s="58" t="s">
        <v>798</v>
      </c>
      <c r="D48" s="58" t="s">
        <v>805</v>
      </c>
      <c r="E48" s="58">
        <v>3168502</v>
      </c>
      <c r="F48" s="58">
        <v>50</v>
      </c>
      <c r="G48" s="58">
        <v>425082</v>
      </c>
      <c r="H48" s="69">
        <v>45033</v>
      </c>
      <c r="I48" s="88">
        <v>0.28000000000000003</v>
      </c>
      <c r="J48" s="58">
        <v>2451117.5099999998</v>
      </c>
    </row>
    <row r="49" spans="1:10" ht="15">
      <c r="A49" s="58" t="s">
        <v>743</v>
      </c>
      <c r="B49" s="58" t="s">
        <v>809</v>
      </c>
      <c r="C49" s="58" t="s">
        <v>788</v>
      </c>
      <c r="D49" s="58" t="s">
        <v>810</v>
      </c>
      <c r="E49" s="58">
        <v>2043711</v>
      </c>
      <c r="F49" s="58">
        <v>98</v>
      </c>
      <c r="G49" s="58">
        <v>59932</v>
      </c>
      <c r="H49" s="69">
        <v>45615</v>
      </c>
      <c r="I49" s="88">
        <v>0.31</v>
      </c>
      <c r="J49" s="58">
        <v>572404.44999999995</v>
      </c>
    </row>
    <row r="50" spans="1:10" ht="15">
      <c r="A50" s="58" t="s">
        <v>747</v>
      </c>
      <c r="B50" s="58" t="s">
        <v>814</v>
      </c>
      <c r="C50" s="58" t="s">
        <v>807</v>
      </c>
      <c r="D50" s="58" t="s">
        <v>813</v>
      </c>
      <c r="E50" s="58">
        <v>263042</v>
      </c>
      <c r="F50" s="58">
        <v>35</v>
      </c>
      <c r="G50" s="58">
        <v>187740</v>
      </c>
      <c r="H50" s="69">
        <v>45007</v>
      </c>
      <c r="I50" s="88">
        <v>0.31</v>
      </c>
      <c r="J50" s="58">
        <v>4265399.5999999996</v>
      </c>
    </row>
    <row r="51" spans="1:10" ht="15">
      <c r="A51" s="58" t="s">
        <v>747</v>
      </c>
      <c r="B51" s="58" t="s">
        <v>790</v>
      </c>
      <c r="C51" s="58" t="s">
        <v>798</v>
      </c>
      <c r="D51" s="58" t="s">
        <v>805</v>
      </c>
      <c r="E51" s="58">
        <v>3237190</v>
      </c>
      <c r="F51" s="58">
        <v>61</v>
      </c>
      <c r="G51" s="58">
        <v>397151</v>
      </c>
      <c r="H51" s="69">
        <v>45053</v>
      </c>
      <c r="I51" s="88">
        <v>0.01</v>
      </c>
      <c r="J51" s="58">
        <v>455937.21</v>
      </c>
    </row>
    <row r="52" spans="1:10" ht="15">
      <c r="A52" s="58" t="s">
        <v>744</v>
      </c>
      <c r="B52" s="58" t="s">
        <v>804</v>
      </c>
      <c r="C52" s="58" t="s">
        <v>793</v>
      </c>
      <c r="D52" s="58" t="s">
        <v>803</v>
      </c>
      <c r="E52" s="58">
        <v>322971</v>
      </c>
      <c r="F52" s="58">
        <v>22</v>
      </c>
      <c r="G52" s="58">
        <v>296623</v>
      </c>
      <c r="H52" s="69">
        <v>44564</v>
      </c>
      <c r="I52" s="88">
        <v>0.49</v>
      </c>
      <c r="J52" s="58">
        <v>792440.04</v>
      </c>
    </row>
    <row r="53" spans="1:10" ht="15">
      <c r="A53" s="58" t="s">
        <v>743</v>
      </c>
      <c r="B53" s="58" t="s">
        <v>790</v>
      </c>
      <c r="C53" s="58" t="s">
        <v>793</v>
      </c>
      <c r="D53" s="58" t="s">
        <v>806</v>
      </c>
      <c r="E53" s="58">
        <v>398263</v>
      </c>
      <c r="F53" s="58">
        <v>17</v>
      </c>
      <c r="G53" s="58">
        <v>175223</v>
      </c>
      <c r="H53" s="69">
        <v>44908</v>
      </c>
      <c r="I53" s="88">
        <v>0.08</v>
      </c>
      <c r="J53" s="58">
        <v>3367811.52</v>
      </c>
    </row>
    <row r="54" spans="1:10" ht="15">
      <c r="A54" s="58" t="s">
        <v>749</v>
      </c>
      <c r="B54" s="58" t="s">
        <v>797</v>
      </c>
      <c r="C54" s="58" t="s">
        <v>799</v>
      </c>
      <c r="D54" s="58" t="s">
        <v>810</v>
      </c>
      <c r="E54" s="58">
        <v>2815940</v>
      </c>
      <c r="F54" s="58">
        <v>76</v>
      </c>
      <c r="G54" s="58">
        <v>496631</v>
      </c>
      <c r="H54" s="69">
        <v>45417</v>
      </c>
      <c r="I54" s="88">
        <v>0.49</v>
      </c>
      <c r="J54" s="58">
        <v>486623.19</v>
      </c>
    </row>
    <row r="55" spans="1:10" ht="15">
      <c r="A55" s="58" t="s">
        <v>740</v>
      </c>
      <c r="B55" s="58" t="s">
        <v>792</v>
      </c>
      <c r="C55" s="58" t="s">
        <v>793</v>
      </c>
      <c r="D55" s="58" t="s">
        <v>801</v>
      </c>
      <c r="E55" s="58">
        <v>3062185</v>
      </c>
      <c r="F55" s="58">
        <v>77</v>
      </c>
      <c r="G55" s="58">
        <v>168392</v>
      </c>
      <c r="H55" s="69">
        <v>45605</v>
      </c>
      <c r="I55" s="88">
        <v>0.02</v>
      </c>
      <c r="J55" s="58">
        <v>3008686.35</v>
      </c>
    </row>
    <row r="56" spans="1:10" ht="15">
      <c r="A56" s="58" t="s">
        <v>745</v>
      </c>
      <c r="B56" s="58" t="s">
        <v>804</v>
      </c>
      <c r="C56" s="58" t="s">
        <v>807</v>
      </c>
      <c r="D56" s="58" t="s">
        <v>805</v>
      </c>
      <c r="E56" s="58">
        <v>2696142</v>
      </c>
      <c r="F56" s="58">
        <v>25</v>
      </c>
      <c r="G56" s="58">
        <v>377050</v>
      </c>
      <c r="H56" s="69">
        <v>45080</v>
      </c>
      <c r="I56" s="88">
        <v>0.31</v>
      </c>
      <c r="J56" s="58">
        <v>4499549.67</v>
      </c>
    </row>
    <row r="57" spans="1:10" ht="15">
      <c r="A57" s="58" t="s">
        <v>748</v>
      </c>
      <c r="B57" s="58" t="s">
        <v>790</v>
      </c>
      <c r="C57" s="58" t="s">
        <v>809</v>
      </c>
      <c r="D57" s="58" t="s">
        <v>811</v>
      </c>
      <c r="E57" s="58">
        <v>3976701</v>
      </c>
      <c r="F57" s="58">
        <v>94</v>
      </c>
      <c r="G57" s="58">
        <v>304628</v>
      </c>
      <c r="H57" s="69">
        <v>45036</v>
      </c>
      <c r="I57" s="88">
        <v>0.1</v>
      </c>
      <c r="J57" s="58">
        <v>34202.559999999998</v>
      </c>
    </row>
    <row r="58" spans="1:10" ht="15">
      <c r="A58" s="58" t="s">
        <v>745</v>
      </c>
      <c r="B58" s="58" t="s">
        <v>790</v>
      </c>
      <c r="C58" s="58" t="s">
        <v>809</v>
      </c>
      <c r="D58" s="58" t="s">
        <v>811</v>
      </c>
      <c r="E58" s="58">
        <v>1251490</v>
      </c>
      <c r="F58" s="58">
        <v>63</v>
      </c>
      <c r="G58" s="58">
        <v>244952</v>
      </c>
      <c r="H58" s="69">
        <v>45293</v>
      </c>
      <c r="I58" s="88">
        <v>7.0000000000000007E-2</v>
      </c>
      <c r="J58" s="58">
        <v>2841143.8</v>
      </c>
    </row>
    <row r="59" spans="1:10" ht="15">
      <c r="A59" s="58" t="s">
        <v>745</v>
      </c>
      <c r="B59" s="58" t="s">
        <v>790</v>
      </c>
      <c r="C59" s="58" t="s">
        <v>799</v>
      </c>
      <c r="D59" s="58" t="s">
        <v>812</v>
      </c>
      <c r="E59" s="58">
        <v>3186092</v>
      </c>
      <c r="F59" s="58">
        <v>28</v>
      </c>
      <c r="G59" s="58">
        <v>45883</v>
      </c>
      <c r="H59" s="69">
        <v>45012</v>
      </c>
      <c r="I59" s="88">
        <v>7.0000000000000007E-2</v>
      </c>
      <c r="J59" s="58">
        <v>1597649.48</v>
      </c>
    </row>
    <row r="60" spans="1:10" ht="15">
      <c r="A60" s="58" t="s">
        <v>740</v>
      </c>
      <c r="B60" s="58" t="s">
        <v>787</v>
      </c>
      <c r="C60" s="58" t="s">
        <v>788</v>
      </c>
      <c r="D60" s="58" t="s">
        <v>815</v>
      </c>
      <c r="E60" s="58">
        <v>1129378</v>
      </c>
      <c r="F60" s="58">
        <v>24</v>
      </c>
      <c r="G60" s="58">
        <v>443033</v>
      </c>
      <c r="H60" s="69">
        <v>45439</v>
      </c>
      <c r="I60" s="88">
        <v>0.46</v>
      </c>
      <c r="J60" s="58">
        <v>48775.23</v>
      </c>
    </row>
    <row r="61" spans="1:10" ht="15">
      <c r="A61" s="58" t="s">
        <v>745</v>
      </c>
      <c r="B61" s="58" t="s">
        <v>814</v>
      </c>
      <c r="C61" s="58" t="s">
        <v>807</v>
      </c>
      <c r="D61" s="58" t="s">
        <v>796</v>
      </c>
      <c r="E61" s="58">
        <v>988504</v>
      </c>
      <c r="F61" s="58">
        <v>26</v>
      </c>
      <c r="G61" s="58">
        <v>46086</v>
      </c>
      <c r="H61" s="69">
        <v>45539</v>
      </c>
      <c r="I61" s="88">
        <v>0.46</v>
      </c>
      <c r="J61" s="58">
        <v>475885.59</v>
      </c>
    </row>
    <row r="62" spans="1:10" ht="15">
      <c r="A62" s="58" t="s">
        <v>740</v>
      </c>
      <c r="B62" s="58" t="s">
        <v>814</v>
      </c>
      <c r="C62" s="58" t="s">
        <v>807</v>
      </c>
      <c r="D62" s="58" t="s">
        <v>811</v>
      </c>
      <c r="E62" s="58">
        <v>578200</v>
      </c>
      <c r="F62" s="58">
        <v>51</v>
      </c>
      <c r="G62" s="58">
        <v>331728</v>
      </c>
      <c r="H62" s="69">
        <v>45367</v>
      </c>
      <c r="I62" s="88">
        <v>0.32</v>
      </c>
      <c r="J62" s="58">
        <v>1847979.09</v>
      </c>
    </row>
    <row r="63" spans="1:10" ht="15">
      <c r="A63" s="58" t="s">
        <v>740</v>
      </c>
      <c r="B63" s="58" t="s">
        <v>790</v>
      </c>
      <c r="C63" s="58" t="s">
        <v>807</v>
      </c>
      <c r="D63" s="58" t="s">
        <v>796</v>
      </c>
      <c r="E63" s="58">
        <v>1172745</v>
      </c>
      <c r="F63" s="58">
        <v>72</v>
      </c>
      <c r="G63" s="58">
        <v>254002</v>
      </c>
      <c r="H63" s="69">
        <v>45638</v>
      </c>
      <c r="I63" s="88">
        <v>0.31</v>
      </c>
      <c r="J63" s="58">
        <v>1616827.5</v>
      </c>
    </row>
    <row r="64" spans="1:10" ht="15">
      <c r="A64" s="58" t="s">
        <v>744</v>
      </c>
      <c r="B64" s="58" t="s">
        <v>809</v>
      </c>
      <c r="C64" s="58" t="s">
        <v>799</v>
      </c>
      <c r="D64" s="58" t="s">
        <v>805</v>
      </c>
      <c r="E64" s="58">
        <v>1613636</v>
      </c>
      <c r="F64" s="58">
        <v>15</v>
      </c>
      <c r="G64" s="58">
        <v>67291</v>
      </c>
      <c r="H64" s="69">
        <v>44986</v>
      </c>
      <c r="I64" s="88">
        <v>0.31</v>
      </c>
      <c r="J64" s="58">
        <v>102538.6</v>
      </c>
    </row>
    <row r="65" spans="1:10" ht="15">
      <c r="A65" s="58" t="s">
        <v>743</v>
      </c>
      <c r="B65" s="58" t="s">
        <v>804</v>
      </c>
      <c r="C65" s="58" t="s">
        <v>809</v>
      </c>
      <c r="D65" s="58" t="s">
        <v>796</v>
      </c>
      <c r="E65" s="58">
        <v>3596489</v>
      </c>
      <c r="F65" s="58">
        <v>1</v>
      </c>
      <c r="G65" s="58">
        <v>421821</v>
      </c>
      <c r="H65" s="69">
        <v>44582</v>
      </c>
      <c r="I65" s="88">
        <v>0.4</v>
      </c>
      <c r="J65" s="58">
        <v>4160082.24</v>
      </c>
    </row>
    <row r="66" spans="1:10" ht="15">
      <c r="A66" s="58" t="s">
        <v>746</v>
      </c>
      <c r="B66" s="58" t="s">
        <v>790</v>
      </c>
      <c r="C66" s="58" t="s">
        <v>798</v>
      </c>
      <c r="D66" s="58" t="s">
        <v>791</v>
      </c>
      <c r="E66" s="58">
        <v>3770161</v>
      </c>
      <c r="F66" s="58">
        <v>11</v>
      </c>
      <c r="G66" s="58">
        <v>11277</v>
      </c>
      <c r="H66" s="69">
        <v>44897</v>
      </c>
      <c r="I66" s="88">
        <v>0.2</v>
      </c>
      <c r="J66" s="58">
        <v>782422.74</v>
      </c>
    </row>
    <row r="67" spans="1:10" ht="15">
      <c r="A67" s="58" t="s">
        <v>749</v>
      </c>
      <c r="B67" s="58" t="s">
        <v>814</v>
      </c>
      <c r="C67" s="58" t="s">
        <v>793</v>
      </c>
      <c r="D67" s="58" t="s">
        <v>803</v>
      </c>
      <c r="E67" s="58">
        <v>4254971</v>
      </c>
      <c r="F67" s="58">
        <v>25</v>
      </c>
      <c r="G67" s="58">
        <v>299812</v>
      </c>
      <c r="H67" s="69">
        <v>45126</v>
      </c>
      <c r="I67" s="88">
        <v>0.5</v>
      </c>
      <c r="J67" s="58">
        <v>956425.68</v>
      </c>
    </row>
    <row r="68" spans="1:10" ht="15">
      <c r="A68" s="58" t="s">
        <v>748</v>
      </c>
      <c r="B68" s="58" t="s">
        <v>792</v>
      </c>
      <c r="C68" s="58" t="s">
        <v>798</v>
      </c>
      <c r="D68" s="58" t="s">
        <v>800</v>
      </c>
      <c r="E68" s="58">
        <v>4649520</v>
      </c>
      <c r="F68" s="58">
        <v>83</v>
      </c>
      <c r="G68" s="58">
        <v>272237</v>
      </c>
      <c r="H68" s="69">
        <v>45048</v>
      </c>
      <c r="I68" s="88">
        <v>0.3</v>
      </c>
      <c r="J68" s="58">
        <v>1935015.38</v>
      </c>
    </row>
    <row r="69" spans="1:10" ht="15">
      <c r="A69" s="58" t="s">
        <v>741</v>
      </c>
      <c r="B69" s="58" t="s">
        <v>814</v>
      </c>
      <c r="C69" s="58" t="s">
        <v>799</v>
      </c>
      <c r="D69" s="58" t="s">
        <v>789</v>
      </c>
      <c r="E69" s="58">
        <v>2620750</v>
      </c>
      <c r="F69" s="58">
        <v>72</v>
      </c>
      <c r="G69" s="58">
        <v>164861</v>
      </c>
      <c r="H69" s="69">
        <v>45095</v>
      </c>
      <c r="I69" s="88">
        <v>0.32</v>
      </c>
      <c r="J69" s="58">
        <v>710669.7</v>
      </c>
    </row>
    <row r="70" spans="1:10" ht="15">
      <c r="A70" s="58" t="s">
        <v>740</v>
      </c>
      <c r="B70" s="58" t="s">
        <v>814</v>
      </c>
      <c r="C70" s="58" t="s">
        <v>793</v>
      </c>
      <c r="D70" s="58" t="s">
        <v>800</v>
      </c>
      <c r="E70" s="58">
        <v>365784</v>
      </c>
      <c r="F70" s="58">
        <v>28</v>
      </c>
      <c r="G70" s="58">
        <v>440972</v>
      </c>
      <c r="H70" s="69">
        <v>44939</v>
      </c>
      <c r="I70" s="88">
        <v>0.26</v>
      </c>
      <c r="J70" s="58">
        <v>2429316.83</v>
      </c>
    </row>
    <row r="71" spans="1:10" ht="15">
      <c r="A71" s="58" t="s">
        <v>747</v>
      </c>
      <c r="B71" s="58" t="s">
        <v>790</v>
      </c>
      <c r="C71" s="58" t="s">
        <v>809</v>
      </c>
      <c r="D71" s="58" t="s">
        <v>791</v>
      </c>
      <c r="E71" s="58">
        <v>4464547</v>
      </c>
      <c r="F71" s="58">
        <v>71</v>
      </c>
      <c r="G71" s="58">
        <v>139218</v>
      </c>
      <c r="H71" s="69">
        <v>44597</v>
      </c>
      <c r="I71" s="88">
        <v>0.24</v>
      </c>
      <c r="J71" s="58">
        <v>400177.12</v>
      </c>
    </row>
    <row r="72" spans="1:10" ht="15">
      <c r="A72" s="58" t="s">
        <v>745</v>
      </c>
      <c r="B72" s="58" t="s">
        <v>797</v>
      </c>
      <c r="C72" s="58" t="s">
        <v>799</v>
      </c>
      <c r="D72" s="58" t="s">
        <v>810</v>
      </c>
      <c r="E72" s="58">
        <v>3759110</v>
      </c>
      <c r="F72" s="58">
        <v>29</v>
      </c>
      <c r="G72" s="58">
        <v>406006</v>
      </c>
      <c r="H72" s="69">
        <v>44624</v>
      </c>
      <c r="I72" s="88">
        <v>0.09</v>
      </c>
      <c r="J72" s="58">
        <v>1571627.4</v>
      </c>
    </row>
    <row r="73" spans="1:10" ht="15">
      <c r="A73" s="58" t="s">
        <v>748</v>
      </c>
      <c r="B73" s="58" t="s">
        <v>804</v>
      </c>
      <c r="C73" s="58" t="s">
        <v>807</v>
      </c>
      <c r="D73" s="58" t="s">
        <v>811</v>
      </c>
      <c r="E73" s="58">
        <v>3421190</v>
      </c>
      <c r="F73" s="58">
        <v>99</v>
      </c>
      <c r="G73" s="58">
        <v>337959</v>
      </c>
      <c r="H73" s="69">
        <v>45060</v>
      </c>
      <c r="I73" s="88">
        <v>0.4</v>
      </c>
      <c r="J73" s="58">
        <v>375753.3</v>
      </c>
    </row>
    <row r="74" spans="1:10" ht="15">
      <c r="A74" s="58" t="s">
        <v>741</v>
      </c>
      <c r="B74" s="58" t="s">
        <v>794</v>
      </c>
      <c r="C74" s="58" t="s">
        <v>793</v>
      </c>
      <c r="D74" s="58" t="s">
        <v>805</v>
      </c>
      <c r="E74" s="58">
        <v>778844</v>
      </c>
      <c r="F74" s="58">
        <v>20</v>
      </c>
      <c r="G74" s="58">
        <v>261258</v>
      </c>
      <c r="H74" s="69">
        <v>45082</v>
      </c>
      <c r="I74" s="88">
        <v>0.25</v>
      </c>
      <c r="J74" s="58">
        <v>58056.959999999999</v>
      </c>
    </row>
    <row r="75" spans="1:10" ht="15">
      <c r="A75" s="58" t="s">
        <v>740</v>
      </c>
      <c r="B75" s="58" t="s">
        <v>808</v>
      </c>
      <c r="C75" s="58" t="s">
        <v>795</v>
      </c>
      <c r="D75" s="58" t="s">
        <v>806</v>
      </c>
      <c r="E75" s="58">
        <v>4071886</v>
      </c>
      <c r="F75" s="58">
        <v>1</v>
      </c>
      <c r="G75" s="58">
        <v>335716</v>
      </c>
      <c r="H75" s="69">
        <v>45002</v>
      </c>
      <c r="I75" s="88">
        <v>0.49</v>
      </c>
      <c r="J75" s="58">
        <v>2616466.3199999998</v>
      </c>
    </row>
    <row r="76" spans="1:10" ht="15">
      <c r="A76" s="58" t="s">
        <v>749</v>
      </c>
      <c r="B76" s="58" t="s">
        <v>804</v>
      </c>
      <c r="C76" s="58" t="s">
        <v>799</v>
      </c>
      <c r="D76" s="58" t="s">
        <v>789</v>
      </c>
      <c r="E76" s="58">
        <v>3655037</v>
      </c>
      <c r="F76" s="58">
        <v>91</v>
      </c>
      <c r="G76" s="58">
        <v>392328</v>
      </c>
      <c r="H76" s="69">
        <v>44766</v>
      </c>
      <c r="I76" s="88">
        <v>0.03</v>
      </c>
      <c r="J76" s="58">
        <v>411964.5</v>
      </c>
    </row>
    <row r="77" spans="1:10" ht="15">
      <c r="A77" s="58" t="s">
        <v>749</v>
      </c>
      <c r="B77" s="58" t="s">
        <v>814</v>
      </c>
      <c r="C77" s="58" t="s">
        <v>788</v>
      </c>
      <c r="D77" s="58" t="s">
        <v>791</v>
      </c>
      <c r="E77" s="58">
        <v>1796125</v>
      </c>
      <c r="F77" s="58">
        <v>13</v>
      </c>
      <c r="G77" s="58">
        <v>120252</v>
      </c>
      <c r="H77" s="69">
        <v>44776</v>
      </c>
      <c r="I77" s="88">
        <v>0.12</v>
      </c>
      <c r="J77" s="58">
        <v>1619665.6</v>
      </c>
    </row>
    <row r="78" spans="1:10" ht="15">
      <c r="A78" s="58" t="s">
        <v>747</v>
      </c>
      <c r="B78" s="58" t="s">
        <v>808</v>
      </c>
      <c r="C78" s="58" t="s">
        <v>795</v>
      </c>
      <c r="D78" s="58" t="s">
        <v>810</v>
      </c>
      <c r="E78" s="58">
        <v>566517</v>
      </c>
      <c r="F78" s="58">
        <v>78</v>
      </c>
      <c r="G78" s="58">
        <v>246116</v>
      </c>
      <c r="H78" s="69">
        <v>44780</v>
      </c>
      <c r="I78" s="88">
        <v>0.36</v>
      </c>
      <c r="J78" s="58">
        <v>3817469.88</v>
      </c>
    </row>
    <row r="79" spans="1:10" ht="15">
      <c r="A79" s="58" t="s">
        <v>748</v>
      </c>
      <c r="B79" s="58" t="s">
        <v>808</v>
      </c>
      <c r="C79" s="58" t="s">
        <v>788</v>
      </c>
      <c r="D79" s="58" t="s">
        <v>806</v>
      </c>
      <c r="E79" s="58">
        <v>690186</v>
      </c>
      <c r="F79" s="58">
        <v>38</v>
      </c>
      <c r="G79" s="58">
        <v>63419</v>
      </c>
      <c r="H79" s="69">
        <v>45315</v>
      </c>
      <c r="I79" s="88">
        <v>0.43</v>
      </c>
      <c r="J79" s="58">
        <v>3625446.3</v>
      </c>
    </row>
    <row r="80" spans="1:10" ht="15">
      <c r="A80" s="58" t="s">
        <v>746</v>
      </c>
      <c r="B80" s="58" t="s">
        <v>802</v>
      </c>
      <c r="C80" s="58" t="s">
        <v>809</v>
      </c>
      <c r="D80" s="58" t="s">
        <v>789</v>
      </c>
      <c r="E80" s="58">
        <v>972323</v>
      </c>
      <c r="F80" s="58">
        <v>68</v>
      </c>
      <c r="G80" s="58">
        <v>317047</v>
      </c>
      <c r="H80" s="69">
        <v>45052</v>
      </c>
      <c r="I80" s="88">
        <v>0.13</v>
      </c>
      <c r="J80" s="58">
        <v>2990870.62</v>
      </c>
    </row>
    <row r="81" spans="1:10" ht="15">
      <c r="A81" s="58" t="s">
        <v>741</v>
      </c>
      <c r="B81" s="58" t="s">
        <v>794</v>
      </c>
      <c r="C81" s="58" t="s">
        <v>799</v>
      </c>
      <c r="D81" s="58" t="s">
        <v>810</v>
      </c>
      <c r="E81" s="58">
        <v>1781254</v>
      </c>
      <c r="F81" s="58">
        <v>34</v>
      </c>
      <c r="G81" s="58">
        <v>322583</v>
      </c>
      <c r="H81" s="69">
        <v>44972</v>
      </c>
      <c r="I81" s="88">
        <v>0.08</v>
      </c>
      <c r="J81" s="58">
        <v>2774457.42</v>
      </c>
    </row>
    <row r="82" spans="1:10" ht="15">
      <c r="A82" s="58" t="s">
        <v>745</v>
      </c>
      <c r="B82" s="58" t="s">
        <v>794</v>
      </c>
      <c r="C82" s="58" t="s">
        <v>798</v>
      </c>
      <c r="D82" s="58" t="s">
        <v>811</v>
      </c>
      <c r="E82" s="58">
        <v>3336894</v>
      </c>
      <c r="F82" s="58">
        <v>89</v>
      </c>
      <c r="G82" s="58">
        <v>440289</v>
      </c>
      <c r="H82" s="69">
        <v>45523</v>
      </c>
      <c r="I82" s="88">
        <v>0.03</v>
      </c>
      <c r="J82" s="58">
        <v>1873492.8</v>
      </c>
    </row>
    <row r="83" spans="1:10" ht="15">
      <c r="A83" s="58" t="s">
        <v>747</v>
      </c>
      <c r="B83" s="58" t="s">
        <v>794</v>
      </c>
      <c r="C83" s="58" t="s">
        <v>799</v>
      </c>
      <c r="D83" s="58" t="s">
        <v>800</v>
      </c>
      <c r="E83" s="58">
        <v>4228397</v>
      </c>
      <c r="F83" s="58">
        <v>53</v>
      </c>
      <c r="G83" s="58">
        <v>450365</v>
      </c>
      <c r="H83" s="69">
        <v>45573</v>
      </c>
      <c r="I83" s="88">
        <v>0.3</v>
      </c>
      <c r="J83" s="58">
        <v>1220364.72</v>
      </c>
    </row>
    <row r="84" spans="1:10" ht="15">
      <c r="A84" s="58" t="s">
        <v>741</v>
      </c>
      <c r="B84" s="58" t="s">
        <v>802</v>
      </c>
      <c r="C84" s="58" t="s">
        <v>788</v>
      </c>
      <c r="D84" s="58" t="s">
        <v>791</v>
      </c>
      <c r="E84" s="58">
        <v>877360</v>
      </c>
      <c r="F84" s="58">
        <v>75</v>
      </c>
      <c r="G84" s="58">
        <v>135865</v>
      </c>
      <c r="H84" s="69">
        <v>45454</v>
      </c>
      <c r="I84" s="88">
        <v>0.44</v>
      </c>
      <c r="J84" s="58">
        <v>1985937.6</v>
      </c>
    </row>
    <row r="85" spans="1:10" ht="15">
      <c r="A85" s="58" t="s">
        <v>742</v>
      </c>
      <c r="B85" s="58" t="s">
        <v>802</v>
      </c>
      <c r="C85" s="58" t="s">
        <v>807</v>
      </c>
      <c r="D85" s="58" t="s">
        <v>801</v>
      </c>
      <c r="E85" s="58">
        <v>1539286</v>
      </c>
      <c r="F85" s="58">
        <v>41</v>
      </c>
      <c r="G85" s="58">
        <v>338461</v>
      </c>
      <c r="H85" s="69">
        <v>45486</v>
      </c>
      <c r="I85" s="88">
        <v>0.16</v>
      </c>
      <c r="J85" s="58">
        <v>2989123.28</v>
      </c>
    </row>
    <row r="86" spans="1:10" ht="15">
      <c r="A86" s="58" t="s">
        <v>744</v>
      </c>
      <c r="B86" s="58" t="s">
        <v>797</v>
      </c>
      <c r="C86" s="58" t="s">
        <v>807</v>
      </c>
      <c r="D86" s="58" t="s">
        <v>791</v>
      </c>
      <c r="E86" s="58">
        <v>1159008</v>
      </c>
      <c r="F86" s="58">
        <v>13</v>
      </c>
      <c r="G86" s="58">
        <v>251422</v>
      </c>
      <c r="H86" s="69">
        <v>44909</v>
      </c>
      <c r="I86" s="88">
        <v>0.13</v>
      </c>
      <c r="J86" s="58">
        <v>3997411.97</v>
      </c>
    </row>
    <row r="87" spans="1:10" ht="15">
      <c r="A87" s="58" t="s">
        <v>747</v>
      </c>
      <c r="B87" s="58" t="s">
        <v>802</v>
      </c>
      <c r="C87" s="58" t="s">
        <v>799</v>
      </c>
      <c r="D87" s="58" t="s">
        <v>801</v>
      </c>
      <c r="E87" s="58">
        <v>3109010</v>
      </c>
      <c r="F87" s="58">
        <v>67</v>
      </c>
      <c r="G87" s="58">
        <v>473748</v>
      </c>
      <c r="H87" s="69">
        <v>44652</v>
      </c>
      <c r="I87" s="88">
        <v>0.43</v>
      </c>
      <c r="J87" s="58">
        <v>170476.79999999999</v>
      </c>
    </row>
    <row r="88" spans="1:10" ht="15">
      <c r="A88" s="58" t="s">
        <v>747</v>
      </c>
      <c r="B88" s="58" t="s">
        <v>797</v>
      </c>
      <c r="C88" s="58" t="s">
        <v>793</v>
      </c>
      <c r="D88" s="58" t="s">
        <v>811</v>
      </c>
      <c r="E88" s="58">
        <v>1654268</v>
      </c>
      <c r="F88" s="58">
        <v>15</v>
      </c>
      <c r="G88" s="58">
        <v>167622</v>
      </c>
      <c r="H88" s="69">
        <v>44774</v>
      </c>
      <c r="I88" s="88">
        <v>0.47</v>
      </c>
      <c r="J88" s="58">
        <v>4069851.12</v>
      </c>
    </row>
    <row r="89" spans="1:10" ht="15">
      <c r="A89" s="58" t="s">
        <v>741</v>
      </c>
      <c r="B89" s="58" t="s">
        <v>809</v>
      </c>
      <c r="C89" s="58" t="s">
        <v>788</v>
      </c>
      <c r="D89" s="58" t="s">
        <v>805</v>
      </c>
      <c r="E89" s="58">
        <v>1581278</v>
      </c>
      <c r="F89" s="58">
        <v>19</v>
      </c>
      <c r="G89" s="58">
        <v>170642</v>
      </c>
      <c r="H89" s="69">
        <v>45458</v>
      </c>
      <c r="I89" s="88">
        <v>0.28000000000000003</v>
      </c>
      <c r="J89" s="58">
        <v>3125850.26</v>
      </c>
    </row>
    <row r="90" spans="1:10" ht="15">
      <c r="A90" s="58" t="s">
        <v>749</v>
      </c>
      <c r="B90" s="58" t="s">
        <v>804</v>
      </c>
      <c r="C90" s="58" t="s">
        <v>798</v>
      </c>
      <c r="D90" s="58" t="s">
        <v>796</v>
      </c>
      <c r="E90" s="58">
        <v>1467294</v>
      </c>
      <c r="F90" s="58">
        <v>38</v>
      </c>
      <c r="G90" s="58">
        <v>406333</v>
      </c>
      <c r="H90" s="69">
        <v>45263</v>
      </c>
      <c r="I90" s="88">
        <v>0.49</v>
      </c>
      <c r="J90" s="58">
        <v>1235527.02</v>
      </c>
    </row>
    <row r="91" spans="1:10" ht="15">
      <c r="A91" s="58" t="s">
        <v>742</v>
      </c>
      <c r="B91" s="58" t="s">
        <v>804</v>
      </c>
      <c r="C91" s="58" t="s">
        <v>788</v>
      </c>
      <c r="D91" s="58" t="s">
        <v>796</v>
      </c>
      <c r="E91" s="58">
        <v>1325168</v>
      </c>
      <c r="F91" s="58">
        <v>57</v>
      </c>
      <c r="G91" s="58">
        <v>106344</v>
      </c>
      <c r="H91" s="69">
        <v>45171</v>
      </c>
      <c r="I91" s="88">
        <v>0.18</v>
      </c>
      <c r="J91" s="58">
        <v>386076.8</v>
      </c>
    </row>
    <row r="92" spans="1:10" ht="15">
      <c r="A92" s="58" t="s">
        <v>741</v>
      </c>
      <c r="B92" s="58" t="s">
        <v>809</v>
      </c>
      <c r="C92" s="58" t="s">
        <v>807</v>
      </c>
      <c r="D92" s="58" t="s">
        <v>812</v>
      </c>
      <c r="E92" s="58">
        <v>1182592</v>
      </c>
      <c r="F92" s="58">
        <v>7</v>
      </c>
      <c r="G92" s="58">
        <v>338608</v>
      </c>
      <c r="H92" s="69">
        <v>45133</v>
      </c>
      <c r="I92" s="88">
        <v>0.48</v>
      </c>
      <c r="J92" s="58">
        <v>1538256.35</v>
      </c>
    </row>
    <row r="93" spans="1:10" ht="15">
      <c r="A93" s="58" t="s">
        <v>745</v>
      </c>
      <c r="B93" s="58" t="s">
        <v>804</v>
      </c>
      <c r="C93" s="58" t="s">
        <v>795</v>
      </c>
      <c r="D93" s="58" t="s">
        <v>806</v>
      </c>
      <c r="E93" s="58">
        <v>2968505</v>
      </c>
      <c r="F93" s="58">
        <v>75</v>
      </c>
      <c r="G93" s="58">
        <v>215862</v>
      </c>
      <c r="H93" s="69">
        <v>44644</v>
      </c>
      <c r="I93" s="88">
        <v>0.21</v>
      </c>
      <c r="J93" s="58">
        <v>3546849.67</v>
      </c>
    </row>
    <row r="94" spans="1:10" ht="15">
      <c r="A94" s="58" t="s">
        <v>746</v>
      </c>
      <c r="B94" s="58" t="s">
        <v>790</v>
      </c>
      <c r="C94" s="58" t="s">
        <v>807</v>
      </c>
      <c r="D94" s="58" t="s">
        <v>811</v>
      </c>
      <c r="E94" s="58">
        <v>3615204</v>
      </c>
      <c r="F94" s="58">
        <v>14</v>
      </c>
      <c r="G94" s="58">
        <v>205768</v>
      </c>
      <c r="H94" s="69">
        <v>44927</v>
      </c>
      <c r="I94" s="88">
        <v>0.28000000000000003</v>
      </c>
      <c r="J94" s="58">
        <v>2768400.37</v>
      </c>
    </row>
    <row r="95" spans="1:10" ht="15">
      <c r="A95" s="58" t="s">
        <v>741</v>
      </c>
      <c r="B95" s="58" t="s">
        <v>797</v>
      </c>
      <c r="C95" s="58" t="s">
        <v>788</v>
      </c>
      <c r="D95" s="58" t="s">
        <v>803</v>
      </c>
      <c r="E95" s="58">
        <v>958396</v>
      </c>
      <c r="F95" s="58">
        <v>24</v>
      </c>
      <c r="G95" s="58">
        <v>397863</v>
      </c>
      <c r="H95" s="69">
        <v>44799</v>
      </c>
      <c r="I95" s="88">
        <v>0.24</v>
      </c>
      <c r="J95" s="58">
        <v>2119900.9</v>
      </c>
    </row>
    <row r="96" spans="1:10" ht="15">
      <c r="A96" s="58" t="s">
        <v>745</v>
      </c>
      <c r="B96" s="58" t="s">
        <v>787</v>
      </c>
      <c r="C96" s="58" t="s">
        <v>799</v>
      </c>
      <c r="D96" s="58" t="s">
        <v>791</v>
      </c>
      <c r="E96" s="58">
        <v>4519052</v>
      </c>
      <c r="F96" s="58">
        <v>68</v>
      </c>
      <c r="G96" s="58">
        <v>217177</v>
      </c>
      <c r="H96" s="69">
        <v>45278</v>
      </c>
      <c r="I96" s="88">
        <v>0.01</v>
      </c>
      <c r="J96" s="58">
        <v>3030934.76</v>
      </c>
    </row>
    <row r="97" spans="1:10" ht="15">
      <c r="A97" s="58" t="s">
        <v>746</v>
      </c>
      <c r="B97" s="58" t="s">
        <v>794</v>
      </c>
      <c r="C97" s="58" t="s">
        <v>798</v>
      </c>
      <c r="D97" s="58" t="s">
        <v>811</v>
      </c>
      <c r="E97" s="58">
        <v>3566024</v>
      </c>
      <c r="F97" s="58">
        <v>81</v>
      </c>
      <c r="G97" s="58">
        <v>165728</v>
      </c>
      <c r="H97" s="69">
        <v>45279</v>
      </c>
      <c r="I97" s="88">
        <v>0.32</v>
      </c>
      <c r="J97" s="58">
        <v>3270681.6</v>
      </c>
    </row>
    <row r="98" spans="1:10" ht="15">
      <c r="A98" s="58" t="s">
        <v>745</v>
      </c>
      <c r="B98" s="58" t="s">
        <v>790</v>
      </c>
      <c r="C98" s="58" t="s">
        <v>807</v>
      </c>
      <c r="D98" s="58" t="s">
        <v>801</v>
      </c>
      <c r="E98" s="58">
        <v>4322273</v>
      </c>
      <c r="F98" s="58">
        <v>4</v>
      </c>
      <c r="G98" s="58">
        <v>60152</v>
      </c>
      <c r="H98" s="69">
        <v>45650</v>
      </c>
      <c r="I98" s="88">
        <v>0.18</v>
      </c>
      <c r="J98" s="58">
        <v>634198.41</v>
      </c>
    </row>
    <row r="99" spans="1:10" ht="15">
      <c r="A99" s="58" t="s">
        <v>747</v>
      </c>
      <c r="B99" s="58" t="s">
        <v>792</v>
      </c>
      <c r="C99" s="58" t="s">
        <v>788</v>
      </c>
      <c r="D99" s="58" t="s">
        <v>806</v>
      </c>
      <c r="E99" s="58">
        <v>493679</v>
      </c>
      <c r="F99" s="58">
        <v>30</v>
      </c>
      <c r="G99" s="58">
        <v>187267</v>
      </c>
      <c r="H99" s="69">
        <v>44837</v>
      </c>
      <c r="I99" s="88">
        <v>0</v>
      </c>
      <c r="J99" s="58">
        <v>105230.84</v>
      </c>
    </row>
    <row r="100" spans="1:10" ht="15">
      <c r="A100" s="58" t="s">
        <v>745</v>
      </c>
      <c r="B100" s="58" t="s">
        <v>797</v>
      </c>
      <c r="C100" s="58" t="s">
        <v>795</v>
      </c>
      <c r="D100" s="58" t="s">
        <v>815</v>
      </c>
      <c r="E100" s="58">
        <v>1221531</v>
      </c>
      <c r="F100" s="58">
        <v>50</v>
      </c>
      <c r="G100" s="58">
        <v>487114</v>
      </c>
      <c r="H100" s="69">
        <v>45466</v>
      </c>
      <c r="I100" s="88">
        <v>0.24</v>
      </c>
      <c r="J100" s="58">
        <v>2698858.8</v>
      </c>
    </row>
    <row r="101" spans="1:10" ht="15">
      <c r="A101" s="58" t="s">
        <v>743</v>
      </c>
      <c r="B101" s="58" t="s">
        <v>808</v>
      </c>
      <c r="C101" s="58" t="s">
        <v>809</v>
      </c>
      <c r="D101" s="58" t="s">
        <v>789</v>
      </c>
      <c r="E101" s="58">
        <v>3138281</v>
      </c>
      <c r="F101" s="58">
        <v>93</v>
      </c>
      <c r="G101" s="58">
        <v>28850</v>
      </c>
      <c r="H101" s="69">
        <v>45602</v>
      </c>
      <c r="I101" s="88">
        <v>0.19</v>
      </c>
      <c r="J101" s="58">
        <v>2972871</v>
      </c>
    </row>
    <row r="102" spans="1:10" ht="15">
      <c r="A102" s="58" t="s">
        <v>744</v>
      </c>
      <c r="B102" s="58" t="s">
        <v>802</v>
      </c>
      <c r="C102" s="58" t="s">
        <v>788</v>
      </c>
      <c r="D102" s="58" t="s">
        <v>812</v>
      </c>
      <c r="E102" s="58">
        <v>74333</v>
      </c>
      <c r="F102" s="58">
        <v>30</v>
      </c>
      <c r="G102" s="58">
        <v>486721</v>
      </c>
      <c r="H102" s="69">
        <v>44841</v>
      </c>
      <c r="I102" s="88">
        <v>0.28000000000000003</v>
      </c>
      <c r="J102" s="58">
        <v>35213.97</v>
      </c>
    </row>
    <row r="103" spans="1:10" ht="15">
      <c r="A103" s="58" t="s">
        <v>746</v>
      </c>
      <c r="B103" s="58" t="s">
        <v>794</v>
      </c>
      <c r="C103" s="58" t="s">
        <v>793</v>
      </c>
      <c r="D103" s="58" t="s">
        <v>796</v>
      </c>
      <c r="E103" s="58">
        <v>3978451</v>
      </c>
      <c r="F103" s="58">
        <v>79</v>
      </c>
      <c r="G103" s="58">
        <v>159346</v>
      </c>
      <c r="H103" s="69">
        <v>44672</v>
      </c>
      <c r="I103" s="88">
        <v>0.3</v>
      </c>
      <c r="J103" s="58">
        <v>682870.64</v>
      </c>
    </row>
    <row r="104" spans="1:10" ht="15">
      <c r="A104" s="58" t="s">
        <v>749</v>
      </c>
      <c r="B104" s="58" t="s">
        <v>790</v>
      </c>
      <c r="C104" s="58" t="s">
        <v>793</v>
      </c>
      <c r="D104" s="58" t="s">
        <v>806</v>
      </c>
      <c r="E104" s="58">
        <v>4644729</v>
      </c>
      <c r="F104" s="58">
        <v>47</v>
      </c>
      <c r="G104" s="58">
        <v>457492</v>
      </c>
      <c r="H104" s="69">
        <v>45140</v>
      </c>
      <c r="I104" s="88">
        <v>0.43</v>
      </c>
      <c r="J104" s="58">
        <v>4081953.28</v>
      </c>
    </row>
    <row r="105" spans="1:10" ht="15">
      <c r="A105" s="58" t="s">
        <v>743</v>
      </c>
      <c r="B105" s="58" t="s">
        <v>792</v>
      </c>
      <c r="C105" s="58" t="s">
        <v>788</v>
      </c>
      <c r="D105" s="58" t="s">
        <v>815</v>
      </c>
      <c r="E105" s="58">
        <v>3812210</v>
      </c>
      <c r="F105" s="58">
        <v>45</v>
      </c>
      <c r="G105" s="58">
        <v>209617</v>
      </c>
      <c r="H105" s="69">
        <v>45438</v>
      </c>
      <c r="I105" s="88">
        <v>0.42</v>
      </c>
      <c r="J105" s="58">
        <v>1276492.1399999999</v>
      </c>
    </row>
    <row r="106" spans="1:10" ht="15">
      <c r="A106" s="58" t="s">
        <v>742</v>
      </c>
      <c r="B106" s="58" t="s">
        <v>814</v>
      </c>
      <c r="C106" s="58" t="s">
        <v>807</v>
      </c>
      <c r="D106" s="58" t="s">
        <v>796</v>
      </c>
      <c r="E106" s="58">
        <v>2750381</v>
      </c>
      <c r="F106" s="58">
        <v>22</v>
      </c>
      <c r="G106" s="58">
        <v>266144</v>
      </c>
      <c r="H106" s="69">
        <v>45132</v>
      </c>
      <c r="I106" s="88">
        <v>0</v>
      </c>
      <c r="J106" s="58">
        <v>977644.5</v>
      </c>
    </row>
    <row r="107" spans="1:10" ht="15">
      <c r="A107" s="58" t="s">
        <v>745</v>
      </c>
      <c r="B107" s="58" t="s">
        <v>787</v>
      </c>
      <c r="C107" s="58" t="s">
        <v>798</v>
      </c>
      <c r="D107" s="58" t="s">
        <v>791</v>
      </c>
      <c r="E107" s="58">
        <v>2105352</v>
      </c>
      <c r="F107" s="58">
        <v>56</v>
      </c>
      <c r="G107" s="58">
        <v>310682</v>
      </c>
      <c r="H107" s="69">
        <v>45190</v>
      </c>
      <c r="I107" s="88">
        <v>0.35</v>
      </c>
      <c r="J107" s="58">
        <v>3642903.2</v>
      </c>
    </row>
    <row r="108" spans="1:10" ht="15">
      <c r="A108" s="58" t="s">
        <v>740</v>
      </c>
      <c r="B108" s="58" t="s">
        <v>809</v>
      </c>
      <c r="C108" s="58" t="s">
        <v>788</v>
      </c>
      <c r="D108" s="58" t="s">
        <v>789</v>
      </c>
      <c r="E108" s="58">
        <v>4873816</v>
      </c>
      <c r="F108" s="58">
        <v>38</v>
      </c>
      <c r="G108" s="58">
        <v>262529</v>
      </c>
      <c r="H108" s="69">
        <v>44981</v>
      </c>
      <c r="I108" s="88">
        <v>0.02</v>
      </c>
      <c r="J108" s="58">
        <v>592894.07999999996</v>
      </c>
    </row>
    <row r="109" spans="1:10" ht="15">
      <c r="A109" s="58" t="s">
        <v>745</v>
      </c>
      <c r="B109" s="58" t="s">
        <v>792</v>
      </c>
      <c r="C109" s="58" t="s">
        <v>788</v>
      </c>
      <c r="D109" s="58" t="s">
        <v>789</v>
      </c>
      <c r="E109" s="58">
        <v>1215514</v>
      </c>
      <c r="F109" s="58">
        <v>20</v>
      </c>
      <c r="G109" s="58">
        <v>252071</v>
      </c>
      <c r="H109" s="69">
        <v>45481</v>
      </c>
      <c r="I109" s="88">
        <v>0.2</v>
      </c>
      <c r="J109" s="58">
        <v>374536.6</v>
      </c>
    </row>
    <row r="110" spans="1:10" ht="15">
      <c r="A110" s="58" t="s">
        <v>749</v>
      </c>
      <c r="B110" s="58" t="s">
        <v>809</v>
      </c>
      <c r="C110" s="58" t="s">
        <v>795</v>
      </c>
      <c r="D110" s="58" t="s">
        <v>810</v>
      </c>
      <c r="E110" s="58">
        <v>1795974</v>
      </c>
      <c r="F110" s="58">
        <v>64</v>
      </c>
      <c r="G110" s="58">
        <v>228714</v>
      </c>
      <c r="H110" s="69">
        <v>45056</v>
      </c>
      <c r="I110" s="88">
        <v>0.33</v>
      </c>
      <c r="J110" s="58">
        <v>2678467.96</v>
      </c>
    </row>
    <row r="111" spans="1:10" ht="15">
      <c r="A111" s="58" t="s">
        <v>744</v>
      </c>
      <c r="B111" s="58" t="s">
        <v>797</v>
      </c>
      <c r="C111" s="58" t="s">
        <v>807</v>
      </c>
      <c r="D111" s="58" t="s">
        <v>801</v>
      </c>
      <c r="E111" s="58">
        <v>77392</v>
      </c>
      <c r="F111" s="58">
        <v>26</v>
      </c>
      <c r="G111" s="58">
        <v>88814</v>
      </c>
      <c r="H111" s="69">
        <v>45354</v>
      </c>
      <c r="I111" s="88">
        <v>0.08</v>
      </c>
      <c r="J111" s="58">
        <v>2421988.08</v>
      </c>
    </row>
    <row r="112" spans="1:10" ht="15">
      <c r="A112" s="58" t="s">
        <v>747</v>
      </c>
      <c r="B112" s="58" t="s">
        <v>794</v>
      </c>
      <c r="C112" s="58" t="s">
        <v>807</v>
      </c>
      <c r="D112" s="58" t="s">
        <v>789</v>
      </c>
      <c r="E112" s="58">
        <v>3434355</v>
      </c>
      <c r="F112" s="58">
        <v>80</v>
      </c>
      <c r="G112" s="58">
        <v>400013</v>
      </c>
      <c r="H112" s="69">
        <v>45286</v>
      </c>
      <c r="I112" s="88">
        <v>0.12</v>
      </c>
      <c r="J112" s="58">
        <v>3267829.64</v>
      </c>
    </row>
    <row r="113" spans="1:10" ht="15">
      <c r="A113" s="58" t="s">
        <v>747</v>
      </c>
      <c r="B113" s="58" t="s">
        <v>787</v>
      </c>
      <c r="C113" s="58" t="s">
        <v>798</v>
      </c>
      <c r="D113" s="58" t="s">
        <v>812</v>
      </c>
      <c r="E113" s="58">
        <v>745371</v>
      </c>
      <c r="F113" s="58">
        <v>19</v>
      </c>
      <c r="G113" s="58">
        <v>288349</v>
      </c>
      <c r="H113" s="69">
        <v>44571</v>
      </c>
      <c r="I113" s="88">
        <v>0.15</v>
      </c>
      <c r="J113" s="58">
        <v>2681568.89</v>
      </c>
    </row>
    <row r="114" spans="1:10" ht="15">
      <c r="A114" s="58" t="s">
        <v>745</v>
      </c>
      <c r="B114" s="58" t="s">
        <v>809</v>
      </c>
      <c r="C114" s="58" t="s">
        <v>788</v>
      </c>
      <c r="D114" s="58" t="s">
        <v>791</v>
      </c>
      <c r="E114" s="58">
        <v>4712492</v>
      </c>
      <c r="F114" s="58">
        <v>98</v>
      </c>
      <c r="G114" s="58">
        <v>127139</v>
      </c>
      <c r="H114" s="69">
        <v>45131</v>
      </c>
      <c r="I114" s="88">
        <v>0.02</v>
      </c>
      <c r="J114" s="58">
        <v>2247974.5499999998</v>
      </c>
    </row>
    <row r="115" spans="1:10" ht="15">
      <c r="A115" s="58" t="s">
        <v>746</v>
      </c>
      <c r="B115" s="58" t="s">
        <v>794</v>
      </c>
      <c r="C115" s="58" t="s">
        <v>793</v>
      </c>
      <c r="D115" s="58" t="s">
        <v>813</v>
      </c>
      <c r="E115" s="58">
        <v>2664981</v>
      </c>
      <c r="F115" s="58">
        <v>71</v>
      </c>
      <c r="G115" s="58">
        <v>149739</v>
      </c>
      <c r="H115" s="69">
        <v>44911</v>
      </c>
      <c r="I115" s="88">
        <v>0.49</v>
      </c>
      <c r="J115" s="58">
        <v>1631892.64</v>
      </c>
    </row>
    <row r="116" spans="1:10" ht="15">
      <c r="A116" s="58" t="s">
        <v>745</v>
      </c>
      <c r="B116" s="58" t="s">
        <v>809</v>
      </c>
      <c r="C116" s="58" t="s">
        <v>788</v>
      </c>
      <c r="D116" s="58" t="s">
        <v>801</v>
      </c>
      <c r="E116" s="58">
        <v>3122003</v>
      </c>
      <c r="F116" s="58">
        <v>17</v>
      </c>
      <c r="G116" s="58">
        <v>400034</v>
      </c>
      <c r="H116" s="69">
        <v>45286</v>
      </c>
      <c r="I116" s="88">
        <v>0.12</v>
      </c>
      <c r="J116" s="58">
        <v>2045858.4</v>
      </c>
    </row>
    <row r="117" spans="1:10" ht="15">
      <c r="A117" s="58" t="s">
        <v>740</v>
      </c>
      <c r="B117" s="58" t="s">
        <v>790</v>
      </c>
      <c r="C117" s="58" t="s">
        <v>795</v>
      </c>
      <c r="D117" s="58" t="s">
        <v>791</v>
      </c>
      <c r="E117" s="58">
        <v>260262</v>
      </c>
      <c r="F117" s="58">
        <v>51</v>
      </c>
      <c r="G117" s="58">
        <v>144946</v>
      </c>
      <c r="H117" s="69">
        <v>44798</v>
      </c>
      <c r="I117" s="88">
        <v>0.21</v>
      </c>
      <c r="J117" s="58">
        <v>1721915.01</v>
      </c>
    </row>
    <row r="118" spans="1:10" ht="15">
      <c r="A118" s="58" t="s">
        <v>745</v>
      </c>
      <c r="B118" s="58" t="s">
        <v>808</v>
      </c>
      <c r="C118" s="58" t="s">
        <v>799</v>
      </c>
      <c r="D118" s="58" t="s">
        <v>813</v>
      </c>
      <c r="E118" s="58">
        <v>2121979</v>
      </c>
      <c r="F118" s="58">
        <v>96</v>
      </c>
      <c r="G118" s="58">
        <v>328454</v>
      </c>
      <c r="H118" s="69">
        <v>45027</v>
      </c>
      <c r="I118" s="88">
        <v>0.18</v>
      </c>
      <c r="J118" s="58">
        <v>3286112.25</v>
      </c>
    </row>
    <row r="119" spans="1:10" ht="15">
      <c r="A119" s="58" t="s">
        <v>742</v>
      </c>
      <c r="B119" s="58" t="s">
        <v>808</v>
      </c>
      <c r="C119" s="58" t="s">
        <v>799</v>
      </c>
      <c r="D119" s="58" t="s">
        <v>805</v>
      </c>
      <c r="E119" s="58">
        <v>3526631</v>
      </c>
      <c r="F119" s="58">
        <v>12</v>
      </c>
      <c r="G119" s="58">
        <v>149621</v>
      </c>
      <c r="H119" s="69">
        <v>45004</v>
      </c>
      <c r="I119" s="88">
        <v>0.46</v>
      </c>
      <c r="J119" s="58">
        <v>836355.52</v>
      </c>
    </row>
    <row r="120" spans="1:10" ht="15">
      <c r="A120" s="58" t="s">
        <v>748</v>
      </c>
      <c r="B120" s="58" t="s">
        <v>790</v>
      </c>
      <c r="C120" s="58" t="s">
        <v>788</v>
      </c>
      <c r="D120" s="58" t="s">
        <v>803</v>
      </c>
      <c r="E120" s="58">
        <v>502106</v>
      </c>
      <c r="F120" s="58">
        <v>67</v>
      </c>
      <c r="G120" s="58">
        <v>478238</v>
      </c>
      <c r="H120" s="69">
        <v>45394</v>
      </c>
      <c r="I120" s="88">
        <v>0.1</v>
      </c>
      <c r="J120" s="58">
        <v>3390879.44</v>
      </c>
    </row>
    <row r="121" spans="1:10" ht="15">
      <c r="A121" s="58" t="s">
        <v>748</v>
      </c>
      <c r="B121" s="58" t="s">
        <v>804</v>
      </c>
      <c r="C121" s="58" t="s">
        <v>793</v>
      </c>
      <c r="D121" s="58" t="s">
        <v>810</v>
      </c>
      <c r="E121" s="58">
        <v>696108</v>
      </c>
      <c r="F121" s="58">
        <v>32</v>
      </c>
      <c r="G121" s="58">
        <v>245981</v>
      </c>
      <c r="H121" s="69">
        <v>44892</v>
      </c>
      <c r="I121" s="88">
        <v>0.45</v>
      </c>
      <c r="J121" s="58">
        <v>523431.48</v>
      </c>
    </row>
    <row r="122" spans="1:10" ht="15">
      <c r="A122" s="58" t="s">
        <v>744</v>
      </c>
      <c r="B122" s="58" t="s">
        <v>787</v>
      </c>
      <c r="C122" s="58" t="s">
        <v>809</v>
      </c>
      <c r="D122" s="58" t="s">
        <v>810</v>
      </c>
      <c r="E122" s="58">
        <v>3345080</v>
      </c>
      <c r="F122" s="58">
        <v>14</v>
      </c>
      <c r="G122" s="58">
        <v>418941</v>
      </c>
      <c r="H122" s="69">
        <v>44658</v>
      </c>
      <c r="I122" s="88">
        <v>0.09</v>
      </c>
      <c r="J122" s="58">
        <v>1128779.19</v>
      </c>
    </row>
    <row r="123" spans="1:10" ht="15">
      <c r="A123" s="58" t="s">
        <v>740</v>
      </c>
      <c r="B123" s="58" t="s">
        <v>802</v>
      </c>
      <c r="C123" s="58" t="s">
        <v>798</v>
      </c>
      <c r="D123" s="58" t="s">
        <v>791</v>
      </c>
      <c r="E123" s="58">
        <v>529073</v>
      </c>
      <c r="F123" s="58">
        <v>19</v>
      </c>
      <c r="G123" s="58">
        <v>109976</v>
      </c>
      <c r="H123" s="69">
        <v>44828</v>
      </c>
      <c r="I123" s="88">
        <v>0.22</v>
      </c>
      <c r="J123" s="58">
        <v>2030730.72</v>
      </c>
    </row>
    <row r="124" spans="1:10" ht="15">
      <c r="A124" s="58" t="s">
        <v>745</v>
      </c>
      <c r="B124" s="58" t="s">
        <v>809</v>
      </c>
      <c r="C124" s="58" t="s">
        <v>799</v>
      </c>
      <c r="D124" s="58" t="s">
        <v>805</v>
      </c>
      <c r="E124" s="58">
        <v>1550270</v>
      </c>
      <c r="F124" s="58">
        <v>41</v>
      </c>
      <c r="G124" s="58">
        <v>267599</v>
      </c>
      <c r="H124" s="69">
        <v>45095</v>
      </c>
      <c r="I124" s="88">
        <v>0.24</v>
      </c>
      <c r="J124" s="58">
        <v>651459.71</v>
      </c>
    </row>
    <row r="125" spans="1:10" ht="15">
      <c r="A125" s="58" t="s">
        <v>742</v>
      </c>
      <c r="B125" s="58" t="s">
        <v>794</v>
      </c>
      <c r="C125" s="58" t="s">
        <v>799</v>
      </c>
      <c r="D125" s="58" t="s">
        <v>800</v>
      </c>
      <c r="E125" s="58">
        <v>781096</v>
      </c>
      <c r="F125" s="58">
        <v>19</v>
      </c>
      <c r="G125" s="58">
        <v>454613</v>
      </c>
      <c r="H125" s="69">
        <v>44888</v>
      </c>
      <c r="I125" s="88">
        <v>0.08</v>
      </c>
      <c r="J125" s="58">
        <v>1683155.9</v>
      </c>
    </row>
    <row r="126" spans="1:10" ht="15">
      <c r="A126" s="58" t="s">
        <v>748</v>
      </c>
      <c r="B126" s="58" t="s">
        <v>809</v>
      </c>
      <c r="C126" s="58" t="s">
        <v>788</v>
      </c>
      <c r="D126" s="58" t="s">
        <v>796</v>
      </c>
      <c r="E126" s="58">
        <v>3132759</v>
      </c>
      <c r="F126" s="58">
        <v>61</v>
      </c>
      <c r="G126" s="58">
        <v>300429</v>
      </c>
      <c r="H126" s="69">
        <v>45011</v>
      </c>
      <c r="I126" s="88">
        <v>0.11</v>
      </c>
      <c r="J126" s="58">
        <v>299746.89</v>
      </c>
    </row>
    <row r="127" spans="1:10" ht="15">
      <c r="A127" s="58" t="s">
        <v>747</v>
      </c>
      <c r="B127" s="58" t="s">
        <v>790</v>
      </c>
      <c r="C127" s="58" t="s">
        <v>799</v>
      </c>
      <c r="D127" s="58" t="s">
        <v>801</v>
      </c>
      <c r="E127" s="58">
        <v>90159</v>
      </c>
      <c r="F127" s="58">
        <v>88</v>
      </c>
      <c r="G127" s="58">
        <v>19683</v>
      </c>
      <c r="H127" s="69">
        <v>45161</v>
      </c>
      <c r="I127" s="88">
        <v>0.19</v>
      </c>
      <c r="J127" s="58">
        <v>1683216.75</v>
      </c>
    </row>
    <row r="128" spans="1:10" ht="15">
      <c r="A128" s="58" t="s">
        <v>749</v>
      </c>
      <c r="B128" s="58" t="s">
        <v>794</v>
      </c>
      <c r="C128" s="58" t="s">
        <v>793</v>
      </c>
      <c r="D128" s="58" t="s">
        <v>811</v>
      </c>
      <c r="E128" s="58">
        <v>145960</v>
      </c>
      <c r="F128" s="58">
        <v>88</v>
      </c>
      <c r="G128" s="58">
        <v>250086</v>
      </c>
      <c r="H128" s="69">
        <v>44615</v>
      </c>
      <c r="I128" s="88">
        <v>0.27</v>
      </c>
      <c r="J128" s="58">
        <v>385261.5</v>
      </c>
    </row>
    <row r="129" spans="1:10" ht="15">
      <c r="A129" s="58" t="s">
        <v>748</v>
      </c>
      <c r="B129" s="58" t="s">
        <v>787</v>
      </c>
      <c r="C129" s="58" t="s">
        <v>798</v>
      </c>
      <c r="D129" s="58" t="s">
        <v>810</v>
      </c>
      <c r="E129" s="58">
        <v>3517653</v>
      </c>
      <c r="F129" s="58">
        <v>97</v>
      </c>
      <c r="G129" s="58">
        <v>81843</v>
      </c>
      <c r="H129" s="69">
        <v>45271</v>
      </c>
      <c r="I129" s="88">
        <v>0.3</v>
      </c>
      <c r="J129" s="58">
        <v>1012924.26</v>
      </c>
    </row>
    <row r="130" spans="1:10" ht="15">
      <c r="A130" s="58" t="s">
        <v>748</v>
      </c>
      <c r="B130" s="58" t="s">
        <v>809</v>
      </c>
      <c r="C130" s="58" t="s">
        <v>788</v>
      </c>
      <c r="D130" s="58" t="s">
        <v>812</v>
      </c>
      <c r="E130" s="58">
        <v>3370983</v>
      </c>
      <c r="F130" s="58">
        <v>81</v>
      </c>
      <c r="G130" s="58">
        <v>408996</v>
      </c>
      <c r="H130" s="69">
        <v>45476</v>
      </c>
      <c r="I130" s="88">
        <v>0.1</v>
      </c>
      <c r="J130" s="58">
        <v>2758014.78</v>
      </c>
    </row>
    <row r="131" spans="1:10" ht="15">
      <c r="A131" s="58" t="s">
        <v>748</v>
      </c>
      <c r="B131" s="58" t="s">
        <v>804</v>
      </c>
      <c r="C131" s="58" t="s">
        <v>795</v>
      </c>
      <c r="D131" s="58" t="s">
        <v>800</v>
      </c>
      <c r="E131" s="58">
        <v>4625373</v>
      </c>
      <c r="F131" s="58">
        <v>3</v>
      </c>
      <c r="G131" s="58">
        <v>286271</v>
      </c>
      <c r="H131" s="69">
        <v>45157</v>
      </c>
      <c r="I131" s="88">
        <v>0.5</v>
      </c>
      <c r="J131" s="58">
        <v>3970228.6</v>
      </c>
    </row>
    <row r="132" spans="1:10" ht="15">
      <c r="A132" s="58" t="s">
        <v>745</v>
      </c>
      <c r="B132" s="58" t="s">
        <v>792</v>
      </c>
      <c r="C132" s="58" t="s">
        <v>795</v>
      </c>
      <c r="D132" s="58" t="s">
        <v>796</v>
      </c>
      <c r="E132" s="58">
        <v>914322</v>
      </c>
      <c r="F132" s="58">
        <v>54</v>
      </c>
      <c r="G132" s="58">
        <v>124157</v>
      </c>
      <c r="H132" s="69">
        <v>45429</v>
      </c>
      <c r="I132" s="88">
        <v>0.47</v>
      </c>
      <c r="J132" s="58">
        <v>2345367.5699999998</v>
      </c>
    </row>
    <row r="133" spans="1:10" ht="15">
      <c r="A133" s="58" t="s">
        <v>748</v>
      </c>
      <c r="B133" s="58" t="s">
        <v>787</v>
      </c>
      <c r="C133" s="58" t="s">
        <v>807</v>
      </c>
      <c r="D133" s="58" t="s">
        <v>815</v>
      </c>
      <c r="E133" s="58">
        <v>746507</v>
      </c>
      <c r="F133" s="58">
        <v>95</v>
      </c>
      <c r="G133" s="58">
        <v>435022</v>
      </c>
      <c r="H133" s="69">
        <v>45445</v>
      </c>
      <c r="I133" s="88">
        <v>0.34</v>
      </c>
      <c r="J133" s="58">
        <v>4335462.04</v>
      </c>
    </row>
    <row r="134" spans="1:10" ht="15">
      <c r="A134" s="58" t="s">
        <v>746</v>
      </c>
      <c r="B134" s="58" t="s">
        <v>792</v>
      </c>
      <c r="C134" s="58" t="s">
        <v>809</v>
      </c>
      <c r="D134" s="58" t="s">
        <v>800</v>
      </c>
      <c r="E134" s="58">
        <v>2050671</v>
      </c>
      <c r="F134" s="58">
        <v>36</v>
      </c>
      <c r="G134" s="58">
        <v>395347</v>
      </c>
      <c r="H134" s="69">
        <v>44716</v>
      </c>
      <c r="I134" s="88">
        <v>0.43</v>
      </c>
      <c r="J134" s="58">
        <v>1710510.88</v>
      </c>
    </row>
    <row r="135" spans="1:10" ht="15">
      <c r="A135" s="58" t="s">
        <v>746</v>
      </c>
      <c r="B135" s="58" t="s">
        <v>797</v>
      </c>
      <c r="C135" s="58" t="s">
        <v>807</v>
      </c>
      <c r="D135" s="58" t="s">
        <v>813</v>
      </c>
      <c r="E135" s="58">
        <v>4447138</v>
      </c>
      <c r="F135" s="58">
        <v>57</v>
      </c>
      <c r="G135" s="58">
        <v>466243</v>
      </c>
      <c r="H135" s="69">
        <v>45466</v>
      </c>
      <c r="I135" s="88">
        <v>0.02</v>
      </c>
      <c r="J135" s="58">
        <v>2897330.58</v>
      </c>
    </row>
    <row r="136" spans="1:10" ht="15">
      <c r="A136" s="58" t="s">
        <v>743</v>
      </c>
      <c r="B136" s="58" t="s">
        <v>804</v>
      </c>
      <c r="C136" s="58" t="s">
        <v>807</v>
      </c>
      <c r="D136" s="58" t="s">
        <v>813</v>
      </c>
      <c r="E136" s="58">
        <v>932174</v>
      </c>
      <c r="F136" s="58">
        <v>39</v>
      </c>
      <c r="G136" s="58">
        <v>494134</v>
      </c>
      <c r="H136" s="69">
        <v>45152</v>
      </c>
      <c r="I136" s="88">
        <v>0.18</v>
      </c>
      <c r="J136" s="58">
        <v>3240401.4</v>
      </c>
    </row>
    <row r="137" spans="1:10" ht="15">
      <c r="A137" s="58" t="s">
        <v>743</v>
      </c>
      <c r="B137" s="58" t="s">
        <v>792</v>
      </c>
      <c r="C137" s="58" t="s">
        <v>788</v>
      </c>
      <c r="D137" s="58" t="s">
        <v>812</v>
      </c>
      <c r="E137" s="58">
        <v>2793830</v>
      </c>
      <c r="F137" s="58">
        <v>86</v>
      </c>
      <c r="G137" s="58">
        <v>499755</v>
      </c>
      <c r="H137" s="69">
        <v>44715</v>
      </c>
      <c r="I137" s="88">
        <v>0.18</v>
      </c>
      <c r="J137" s="58">
        <v>3270345.6</v>
      </c>
    </row>
    <row r="138" spans="1:10" ht="15">
      <c r="A138" s="58" t="s">
        <v>740</v>
      </c>
      <c r="B138" s="58" t="s">
        <v>809</v>
      </c>
      <c r="C138" s="58" t="s">
        <v>807</v>
      </c>
      <c r="D138" s="58" t="s">
        <v>811</v>
      </c>
      <c r="E138" s="58">
        <v>4878990</v>
      </c>
      <c r="F138" s="58">
        <v>46</v>
      </c>
      <c r="G138" s="58">
        <v>249197</v>
      </c>
      <c r="H138" s="69">
        <v>45495</v>
      </c>
      <c r="I138" s="88">
        <v>0.09</v>
      </c>
      <c r="J138" s="58">
        <v>194484.68</v>
      </c>
    </row>
    <row r="139" spans="1:10" ht="15">
      <c r="A139" s="58" t="s">
        <v>745</v>
      </c>
      <c r="B139" s="58" t="s">
        <v>790</v>
      </c>
      <c r="C139" s="58" t="s">
        <v>807</v>
      </c>
      <c r="D139" s="58" t="s">
        <v>812</v>
      </c>
      <c r="E139" s="58">
        <v>3427929</v>
      </c>
      <c r="F139" s="58">
        <v>14</v>
      </c>
      <c r="G139" s="58">
        <v>482999</v>
      </c>
      <c r="H139" s="69">
        <v>45404</v>
      </c>
      <c r="I139" s="88">
        <v>0.26</v>
      </c>
      <c r="J139" s="58">
        <v>3280103.64</v>
      </c>
    </row>
    <row r="140" spans="1:10" ht="15">
      <c r="A140" s="58" t="s">
        <v>741</v>
      </c>
      <c r="B140" s="58" t="s">
        <v>808</v>
      </c>
      <c r="C140" s="58" t="s">
        <v>795</v>
      </c>
      <c r="D140" s="58" t="s">
        <v>810</v>
      </c>
      <c r="E140" s="58">
        <v>1612315</v>
      </c>
      <c r="F140" s="58">
        <v>30</v>
      </c>
      <c r="G140" s="58">
        <v>184667</v>
      </c>
      <c r="H140" s="69">
        <v>45065</v>
      </c>
      <c r="I140" s="88">
        <v>0.1</v>
      </c>
      <c r="J140" s="58">
        <v>3259786.82</v>
      </c>
    </row>
    <row r="141" spans="1:10" ht="15">
      <c r="A141" s="58" t="s">
        <v>745</v>
      </c>
      <c r="B141" s="58" t="s">
        <v>797</v>
      </c>
      <c r="C141" s="58" t="s">
        <v>798</v>
      </c>
      <c r="D141" s="58" t="s">
        <v>789</v>
      </c>
      <c r="E141" s="58">
        <v>2119002</v>
      </c>
      <c r="F141" s="58">
        <v>18</v>
      </c>
      <c r="G141" s="58">
        <v>179919</v>
      </c>
      <c r="H141" s="69">
        <v>44807</v>
      </c>
      <c r="I141" s="88">
        <v>0.34</v>
      </c>
      <c r="J141" s="58">
        <v>469584.47</v>
      </c>
    </row>
    <row r="142" spans="1:10" ht="15">
      <c r="A142" s="58" t="s">
        <v>742</v>
      </c>
      <c r="B142" s="58" t="s">
        <v>802</v>
      </c>
      <c r="C142" s="58" t="s">
        <v>809</v>
      </c>
      <c r="D142" s="58" t="s">
        <v>810</v>
      </c>
      <c r="E142" s="58">
        <v>1333902</v>
      </c>
      <c r="F142" s="58">
        <v>9</v>
      </c>
      <c r="G142" s="58">
        <v>402487</v>
      </c>
      <c r="H142" s="69">
        <v>45602</v>
      </c>
      <c r="I142" s="88">
        <v>0.45</v>
      </c>
      <c r="J142" s="58">
        <v>4145723.05</v>
      </c>
    </row>
    <row r="143" spans="1:10" ht="15">
      <c r="A143" s="58" t="s">
        <v>749</v>
      </c>
      <c r="B143" s="58" t="s">
        <v>794</v>
      </c>
      <c r="C143" s="58" t="s">
        <v>795</v>
      </c>
      <c r="D143" s="58" t="s">
        <v>810</v>
      </c>
      <c r="E143" s="58">
        <v>3181395</v>
      </c>
      <c r="F143" s="58">
        <v>24</v>
      </c>
      <c r="G143" s="58">
        <v>28281</v>
      </c>
      <c r="H143" s="69">
        <v>45463</v>
      </c>
      <c r="I143" s="88">
        <v>0.47</v>
      </c>
      <c r="J143" s="58">
        <v>2632245.4</v>
      </c>
    </row>
    <row r="144" spans="1:10" ht="15">
      <c r="A144" s="58" t="s">
        <v>745</v>
      </c>
      <c r="B144" s="58" t="s">
        <v>794</v>
      </c>
      <c r="C144" s="58" t="s">
        <v>788</v>
      </c>
      <c r="D144" s="58" t="s">
        <v>811</v>
      </c>
      <c r="E144" s="58">
        <v>1424835</v>
      </c>
      <c r="F144" s="58">
        <v>10</v>
      </c>
      <c r="G144" s="58">
        <v>61907</v>
      </c>
      <c r="H144" s="69">
        <v>45250</v>
      </c>
      <c r="I144" s="88">
        <v>0.14000000000000001</v>
      </c>
      <c r="J144" s="58">
        <v>990134.46</v>
      </c>
    </row>
    <row r="145" spans="1:10" ht="15">
      <c r="A145" s="58" t="s">
        <v>743</v>
      </c>
      <c r="B145" s="58" t="s">
        <v>792</v>
      </c>
      <c r="C145" s="58" t="s">
        <v>807</v>
      </c>
      <c r="D145" s="58" t="s">
        <v>796</v>
      </c>
      <c r="E145" s="58">
        <v>3503044</v>
      </c>
      <c r="F145" s="58">
        <v>36</v>
      </c>
      <c r="G145" s="58">
        <v>349736</v>
      </c>
      <c r="H145" s="69">
        <v>45005</v>
      </c>
      <c r="I145" s="88">
        <v>0.04</v>
      </c>
      <c r="J145" s="58">
        <v>1558485.76</v>
      </c>
    </row>
    <row r="146" spans="1:10" ht="15">
      <c r="A146" s="58" t="s">
        <v>744</v>
      </c>
      <c r="B146" s="58" t="s">
        <v>797</v>
      </c>
      <c r="C146" s="58" t="s">
        <v>807</v>
      </c>
      <c r="D146" s="58" t="s">
        <v>789</v>
      </c>
      <c r="E146" s="58">
        <v>4714279</v>
      </c>
      <c r="F146" s="58">
        <v>37</v>
      </c>
      <c r="G146" s="58">
        <v>15878</v>
      </c>
      <c r="H146" s="69">
        <v>45419</v>
      </c>
      <c r="I146" s="88">
        <v>0.5</v>
      </c>
      <c r="J146" s="58">
        <v>1424028</v>
      </c>
    </row>
    <row r="147" spans="1:10" ht="15">
      <c r="A147" s="58" t="s">
        <v>747</v>
      </c>
      <c r="B147" s="58" t="s">
        <v>804</v>
      </c>
      <c r="C147" s="58" t="s">
        <v>799</v>
      </c>
      <c r="D147" s="58" t="s">
        <v>805</v>
      </c>
      <c r="E147" s="58">
        <v>3212043</v>
      </c>
      <c r="F147" s="58">
        <v>41</v>
      </c>
      <c r="G147" s="58">
        <v>400217</v>
      </c>
      <c r="H147" s="69">
        <v>44868</v>
      </c>
      <c r="I147" s="88">
        <v>0.26</v>
      </c>
      <c r="J147" s="58">
        <v>3052267.68</v>
      </c>
    </row>
    <row r="148" spans="1:10" ht="15">
      <c r="A148" s="58" t="s">
        <v>748</v>
      </c>
      <c r="B148" s="58" t="s">
        <v>797</v>
      </c>
      <c r="C148" s="58" t="s">
        <v>788</v>
      </c>
      <c r="D148" s="58" t="s">
        <v>810</v>
      </c>
      <c r="E148" s="58">
        <v>3176980</v>
      </c>
      <c r="F148" s="58">
        <v>35</v>
      </c>
      <c r="G148" s="58">
        <v>276452</v>
      </c>
      <c r="H148" s="69">
        <v>45040</v>
      </c>
      <c r="I148" s="88">
        <v>0.33</v>
      </c>
      <c r="J148" s="58">
        <v>805663.32</v>
      </c>
    </row>
    <row r="149" spans="1:10" ht="15">
      <c r="A149" s="58" t="s">
        <v>743</v>
      </c>
      <c r="B149" s="58" t="s">
        <v>797</v>
      </c>
      <c r="C149" s="58" t="s">
        <v>798</v>
      </c>
      <c r="D149" s="58" t="s">
        <v>810</v>
      </c>
      <c r="E149" s="58">
        <v>162411</v>
      </c>
      <c r="F149" s="58">
        <v>84</v>
      </c>
      <c r="G149" s="58">
        <v>465347</v>
      </c>
      <c r="H149" s="69">
        <v>44758</v>
      </c>
      <c r="I149" s="88">
        <v>0.19</v>
      </c>
      <c r="J149" s="58">
        <v>3825865.72</v>
      </c>
    </row>
    <row r="150" spans="1:10" ht="15">
      <c r="A150" s="58" t="s">
        <v>745</v>
      </c>
      <c r="B150" s="58" t="s">
        <v>814</v>
      </c>
      <c r="C150" s="58" t="s">
        <v>793</v>
      </c>
      <c r="D150" s="58" t="s">
        <v>801</v>
      </c>
      <c r="E150" s="58">
        <v>286737</v>
      </c>
      <c r="F150" s="58">
        <v>83</v>
      </c>
      <c r="G150" s="58">
        <v>44865</v>
      </c>
      <c r="H150" s="69">
        <v>44789</v>
      </c>
      <c r="I150" s="88">
        <v>0.36</v>
      </c>
      <c r="J150" s="58">
        <v>3391642.56</v>
      </c>
    </row>
    <row r="151" spans="1:10" ht="15">
      <c r="A151" s="58" t="s">
        <v>745</v>
      </c>
      <c r="B151" s="58" t="s">
        <v>809</v>
      </c>
      <c r="C151" s="58" t="s">
        <v>788</v>
      </c>
      <c r="D151" s="58" t="s">
        <v>801</v>
      </c>
      <c r="E151" s="58">
        <v>3015768</v>
      </c>
      <c r="F151" s="58">
        <v>77</v>
      </c>
      <c r="G151" s="58">
        <v>54585</v>
      </c>
      <c r="H151" s="69">
        <v>44640</v>
      </c>
      <c r="I151" s="88">
        <v>0.24</v>
      </c>
      <c r="J151" s="58">
        <v>1118524.44</v>
      </c>
    </row>
    <row r="152" spans="1:10" ht="15">
      <c r="A152" s="58" t="s">
        <v>742</v>
      </c>
      <c r="B152" s="58" t="s">
        <v>802</v>
      </c>
      <c r="C152" s="58" t="s">
        <v>788</v>
      </c>
      <c r="D152" s="58" t="s">
        <v>812</v>
      </c>
      <c r="E152" s="58">
        <v>2611719</v>
      </c>
      <c r="F152" s="58">
        <v>71</v>
      </c>
      <c r="G152" s="58">
        <v>166136</v>
      </c>
      <c r="H152" s="69">
        <v>44870</v>
      </c>
      <c r="I152" s="88">
        <v>0.09</v>
      </c>
      <c r="J152" s="58">
        <v>1635156.88</v>
      </c>
    </row>
    <row r="153" spans="1:10" ht="15">
      <c r="A153" s="58" t="s">
        <v>748</v>
      </c>
      <c r="B153" s="58" t="s">
        <v>814</v>
      </c>
      <c r="C153" s="58" t="s">
        <v>809</v>
      </c>
      <c r="D153" s="58" t="s">
        <v>796</v>
      </c>
      <c r="E153" s="58">
        <v>536002</v>
      </c>
      <c r="F153" s="58">
        <v>54</v>
      </c>
      <c r="G153" s="58">
        <v>474726</v>
      </c>
      <c r="H153" s="69">
        <v>45131</v>
      </c>
      <c r="I153" s="88">
        <v>0.16</v>
      </c>
      <c r="J153" s="58">
        <v>4036179.98</v>
      </c>
    </row>
    <row r="154" spans="1:10" ht="15">
      <c r="A154" s="58" t="s">
        <v>741</v>
      </c>
      <c r="B154" s="58" t="s">
        <v>802</v>
      </c>
      <c r="C154" s="58" t="s">
        <v>799</v>
      </c>
      <c r="D154" s="58" t="s">
        <v>812</v>
      </c>
      <c r="E154" s="58">
        <v>4116521</v>
      </c>
      <c r="F154" s="58">
        <v>15</v>
      </c>
      <c r="G154" s="58">
        <v>16398</v>
      </c>
      <c r="H154" s="69">
        <v>45342</v>
      </c>
      <c r="I154" s="88">
        <v>0.22</v>
      </c>
      <c r="J154" s="58">
        <v>3060014.91</v>
      </c>
    </row>
    <row r="155" spans="1:10" ht="15">
      <c r="A155" s="58" t="s">
        <v>742</v>
      </c>
      <c r="B155" s="58" t="s">
        <v>787</v>
      </c>
      <c r="C155" s="58" t="s">
        <v>788</v>
      </c>
      <c r="D155" s="58" t="s">
        <v>803</v>
      </c>
      <c r="E155" s="58">
        <v>3035755</v>
      </c>
      <c r="F155" s="58">
        <v>65</v>
      </c>
      <c r="G155" s="58">
        <v>319409</v>
      </c>
      <c r="H155" s="69">
        <v>45410</v>
      </c>
      <c r="I155" s="88">
        <v>0.39</v>
      </c>
      <c r="J155" s="58">
        <v>306772.2</v>
      </c>
    </row>
    <row r="156" spans="1:10" ht="15">
      <c r="A156" s="58" t="s">
        <v>747</v>
      </c>
      <c r="B156" s="58" t="s">
        <v>790</v>
      </c>
      <c r="C156" s="58" t="s">
        <v>795</v>
      </c>
      <c r="D156" s="58" t="s">
        <v>812</v>
      </c>
      <c r="E156" s="58">
        <v>1349464</v>
      </c>
      <c r="F156" s="58">
        <v>69</v>
      </c>
      <c r="G156" s="58">
        <v>260124</v>
      </c>
      <c r="H156" s="69">
        <v>44928</v>
      </c>
      <c r="I156" s="88">
        <v>0.08</v>
      </c>
      <c r="J156" s="58">
        <v>336078.54</v>
      </c>
    </row>
    <row r="157" spans="1:10" ht="15">
      <c r="A157" s="58" t="s">
        <v>740</v>
      </c>
      <c r="B157" s="58" t="s">
        <v>808</v>
      </c>
      <c r="C157" s="58" t="s">
        <v>795</v>
      </c>
      <c r="D157" s="58" t="s">
        <v>813</v>
      </c>
      <c r="E157" s="58">
        <v>4527983</v>
      </c>
      <c r="F157" s="58">
        <v>61</v>
      </c>
      <c r="G157" s="58">
        <v>100248</v>
      </c>
      <c r="H157" s="69">
        <v>44843</v>
      </c>
      <c r="I157" s="88">
        <v>0.39</v>
      </c>
      <c r="J157" s="58">
        <v>3122479.78</v>
      </c>
    </row>
    <row r="158" spans="1:10" ht="15">
      <c r="A158" s="58" t="s">
        <v>745</v>
      </c>
      <c r="B158" s="58" t="s">
        <v>804</v>
      </c>
      <c r="C158" s="58" t="s">
        <v>798</v>
      </c>
      <c r="D158" s="58" t="s">
        <v>800</v>
      </c>
      <c r="E158" s="58">
        <v>4336682</v>
      </c>
      <c r="F158" s="58">
        <v>91</v>
      </c>
      <c r="G158" s="58">
        <v>23278</v>
      </c>
      <c r="H158" s="69">
        <v>45621</v>
      </c>
      <c r="I158" s="88">
        <v>0.27</v>
      </c>
      <c r="J158" s="58">
        <v>1401657.39</v>
      </c>
    </row>
    <row r="159" spans="1:10" ht="15">
      <c r="A159" s="58" t="s">
        <v>743</v>
      </c>
      <c r="B159" s="58" t="s">
        <v>808</v>
      </c>
      <c r="C159" s="58" t="s">
        <v>788</v>
      </c>
      <c r="D159" s="58" t="s">
        <v>796</v>
      </c>
      <c r="E159" s="58">
        <v>860242</v>
      </c>
      <c r="F159" s="58">
        <v>82</v>
      </c>
      <c r="G159" s="58">
        <v>3889</v>
      </c>
      <c r="H159" s="69">
        <v>44696</v>
      </c>
      <c r="I159" s="88">
        <v>0.46</v>
      </c>
      <c r="J159" s="58">
        <v>1805062.05</v>
      </c>
    </row>
    <row r="160" spans="1:10" ht="15">
      <c r="A160" s="58" t="s">
        <v>749</v>
      </c>
      <c r="B160" s="58" t="s">
        <v>794</v>
      </c>
      <c r="C160" s="58" t="s">
        <v>799</v>
      </c>
      <c r="D160" s="58" t="s">
        <v>803</v>
      </c>
      <c r="E160" s="58">
        <v>4302282</v>
      </c>
      <c r="F160" s="58">
        <v>88</v>
      </c>
      <c r="G160" s="58">
        <v>349143</v>
      </c>
      <c r="H160" s="69">
        <v>45557</v>
      </c>
      <c r="I160" s="88">
        <v>0.38</v>
      </c>
      <c r="J160" s="58">
        <v>936297.6</v>
      </c>
    </row>
    <row r="161" spans="1:10" ht="15">
      <c r="A161" s="58" t="s">
        <v>745</v>
      </c>
      <c r="B161" s="58" t="s">
        <v>794</v>
      </c>
      <c r="C161" s="58" t="s">
        <v>809</v>
      </c>
      <c r="D161" s="58" t="s">
        <v>803</v>
      </c>
      <c r="E161" s="58">
        <v>4465768</v>
      </c>
      <c r="F161" s="58">
        <v>63</v>
      </c>
      <c r="G161" s="58">
        <v>448561</v>
      </c>
      <c r="H161" s="69">
        <v>45165</v>
      </c>
      <c r="I161" s="88">
        <v>0.05</v>
      </c>
      <c r="J161" s="58">
        <v>1815051.25</v>
      </c>
    </row>
    <row r="162" spans="1:10" ht="15">
      <c r="A162" s="58" t="s">
        <v>747</v>
      </c>
      <c r="B162" s="58" t="s">
        <v>794</v>
      </c>
      <c r="C162" s="58" t="s">
        <v>799</v>
      </c>
      <c r="D162" s="58" t="s">
        <v>806</v>
      </c>
      <c r="E162" s="58">
        <v>4191579</v>
      </c>
      <c r="F162" s="58">
        <v>35</v>
      </c>
      <c r="G162" s="58">
        <v>421379</v>
      </c>
      <c r="H162" s="69">
        <v>45267</v>
      </c>
      <c r="I162" s="88">
        <v>0.19</v>
      </c>
      <c r="J162" s="58">
        <v>726160</v>
      </c>
    </row>
    <row r="163" spans="1:10" ht="15">
      <c r="A163" s="58" t="s">
        <v>746</v>
      </c>
      <c r="B163" s="58" t="s">
        <v>787</v>
      </c>
      <c r="C163" s="58" t="s">
        <v>799</v>
      </c>
      <c r="D163" s="58" t="s">
        <v>801</v>
      </c>
      <c r="E163" s="58">
        <v>1623160</v>
      </c>
      <c r="F163" s="58">
        <v>73</v>
      </c>
      <c r="G163" s="58">
        <v>99921</v>
      </c>
      <c r="H163" s="69">
        <v>45242</v>
      </c>
      <c r="I163" s="88">
        <v>0.2</v>
      </c>
      <c r="J163" s="58">
        <v>301640.17</v>
      </c>
    </row>
    <row r="164" spans="1:10" ht="15">
      <c r="A164" s="58" t="s">
        <v>743</v>
      </c>
      <c r="B164" s="58" t="s">
        <v>787</v>
      </c>
      <c r="C164" s="58" t="s">
        <v>799</v>
      </c>
      <c r="D164" s="58" t="s">
        <v>789</v>
      </c>
      <c r="E164" s="58">
        <v>3574594</v>
      </c>
      <c r="F164" s="58">
        <v>75</v>
      </c>
      <c r="G164" s="58">
        <v>227132</v>
      </c>
      <c r="H164" s="69">
        <v>45550</v>
      </c>
      <c r="I164" s="88">
        <v>7.0000000000000007E-2</v>
      </c>
      <c r="J164" s="58">
        <v>342855.67999999999</v>
      </c>
    </row>
    <row r="165" spans="1:10" ht="15">
      <c r="A165" s="58" t="s">
        <v>745</v>
      </c>
      <c r="B165" s="58" t="s">
        <v>797</v>
      </c>
      <c r="C165" s="58" t="s">
        <v>795</v>
      </c>
      <c r="D165" s="58" t="s">
        <v>803</v>
      </c>
      <c r="E165" s="58">
        <v>1266713</v>
      </c>
      <c r="F165" s="58">
        <v>90</v>
      </c>
      <c r="G165" s="58">
        <v>252043</v>
      </c>
      <c r="H165" s="69">
        <v>45007</v>
      </c>
      <c r="I165" s="88">
        <v>0.15</v>
      </c>
      <c r="J165" s="58">
        <v>1558388.16</v>
      </c>
    </row>
    <row r="166" spans="1:10" ht="15">
      <c r="A166" s="58" t="s">
        <v>743</v>
      </c>
      <c r="B166" s="58" t="s">
        <v>797</v>
      </c>
      <c r="C166" s="58" t="s">
        <v>809</v>
      </c>
      <c r="D166" s="58" t="s">
        <v>813</v>
      </c>
      <c r="E166" s="58">
        <v>1108750</v>
      </c>
      <c r="F166" s="58">
        <v>18</v>
      </c>
      <c r="G166" s="58">
        <v>250300</v>
      </c>
      <c r="H166" s="69">
        <v>45113</v>
      </c>
      <c r="I166" s="88">
        <v>0.19</v>
      </c>
      <c r="J166" s="58">
        <v>2917020.47</v>
      </c>
    </row>
    <row r="167" spans="1:10" ht="15">
      <c r="A167" s="58" t="s">
        <v>742</v>
      </c>
      <c r="B167" s="58" t="s">
        <v>790</v>
      </c>
      <c r="C167" s="58" t="s">
        <v>799</v>
      </c>
      <c r="D167" s="58" t="s">
        <v>796</v>
      </c>
      <c r="E167" s="58">
        <v>3401916</v>
      </c>
      <c r="F167" s="58">
        <v>63</v>
      </c>
      <c r="G167" s="58">
        <v>400743</v>
      </c>
      <c r="H167" s="69">
        <v>45233</v>
      </c>
      <c r="I167" s="88">
        <v>0.27</v>
      </c>
      <c r="J167" s="58">
        <v>929988.24</v>
      </c>
    </row>
    <row r="168" spans="1:10" ht="15">
      <c r="A168" s="58" t="s">
        <v>748</v>
      </c>
      <c r="B168" s="58" t="s">
        <v>790</v>
      </c>
      <c r="C168" s="58" t="s">
        <v>788</v>
      </c>
      <c r="D168" s="58" t="s">
        <v>815</v>
      </c>
      <c r="E168" s="58">
        <v>3558185</v>
      </c>
      <c r="F168" s="58">
        <v>58</v>
      </c>
      <c r="G168" s="58">
        <v>162880</v>
      </c>
      <c r="H168" s="69">
        <v>45480</v>
      </c>
      <c r="I168" s="88">
        <v>0.25</v>
      </c>
      <c r="J168" s="58">
        <v>3247227.48</v>
      </c>
    </row>
    <row r="169" spans="1:10" ht="15">
      <c r="A169" s="58" t="s">
        <v>748</v>
      </c>
      <c r="B169" s="58" t="s">
        <v>814</v>
      </c>
      <c r="C169" s="58" t="s">
        <v>795</v>
      </c>
      <c r="D169" s="58" t="s">
        <v>805</v>
      </c>
      <c r="E169" s="58">
        <v>3579455</v>
      </c>
      <c r="F169" s="58">
        <v>79</v>
      </c>
      <c r="G169" s="58">
        <v>397564</v>
      </c>
      <c r="H169" s="69">
        <v>45341</v>
      </c>
      <c r="I169" s="88">
        <v>0.35</v>
      </c>
      <c r="J169" s="58">
        <v>1813766.08</v>
      </c>
    </row>
    <row r="170" spans="1:10" ht="15">
      <c r="A170" s="58" t="s">
        <v>748</v>
      </c>
      <c r="B170" s="58" t="s">
        <v>814</v>
      </c>
      <c r="C170" s="58" t="s">
        <v>798</v>
      </c>
      <c r="D170" s="58" t="s">
        <v>810</v>
      </c>
      <c r="E170" s="58">
        <v>791409</v>
      </c>
      <c r="F170" s="58">
        <v>19</v>
      </c>
      <c r="G170" s="58">
        <v>448447</v>
      </c>
      <c r="H170" s="69">
        <v>45604</v>
      </c>
      <c r="I170" s="88">
        <v>0.47</v>
      </c>
      <c r="J170" s="58">
        <v>2569608.75</v>
      </c>
    </row>
    <row r="171" spans="1:10" ht="15">
      <c r="A171" s="58" t="s">
        <v>749</v>
      </c>
      <c r="B171" s="58" t="s">
        <v>797</v>
      </c>
      <c r="C171" s="58" t="s">
        <v>788</v>
      </c>
      <c r="D171" s="58" t="s">
        <v>796</v>
      </c>
      <c r="E171" s="58">
        <v>3915210</v>
      </c>
      <c r="F171" s="58">
        <v>53</v>
      </c>
      <c r="G171" s="58">
        <v>246699</v>
      </c>
      <c r="H171" s="69">
        <v>44933</v>
      </c>
      <c r="I171" s="88">
        <v>0.47</v>
      </c>
      <c r="J171" s="58">
        <v>1471051.2</v>
      </c>
    </row>
    <row r="172" spans="1:10" ht="15">
      <c r="A172" s="58" t="s">
        <v>746</v>
      </c>
      <c r="B172" s="58" t="s">
        <v>790</v>
      </c>
      <c r="C172" s="58" t="s">
        <v>807</v>
      </c>
      <c r="D172" s="58" t="s">
        <v>789</v>
      </c>
      <c r="E172" s="58">
        <v>3923362</v>
      </c>
      <c r="F172" s="58">
        <v>48</v>
      </c>
      <c r="G172" s="58">
        <v>304901</v>
      </c>
      <c r="H172" s="69">
        <v>45600</v>
      </c>
      <c r="I172" s="88">
        <v>0.13</v>
      </c>
      <c r="J172" s="58">
        <v>1528747.02</v>
      </c>
    </row>
    <row r="173" spans="1:10" ht="15">
      <c r="A173" s="58" t="s">
        <v>745</v>
      </c>
      <c r="B173" s="58" t="s">
        <v>792</v>
      </c>
      <c r="C173" s="58" t="s">
        <v>798</v>
      </c>
      <c r="D173" s="58" t="s">
        <v>815</v>
      </c>
      <c r="E173" s="58">
        <v>1663987</v>
      </c>
      <c r="F173" s="58">
        <v>7</v>
      </c>
      <c r="G173" s="58">
        <v>456040</v>
      </c>
      <c r="H173" s="69">
        <v>45063</v>
      </c>
      <c r="I173" s="88">
        <v>0.23</v>
      </c>
      <c r="J173" s="58">
        <v>561913.1</v>
      </c>
    </row>
    <row r="174" spans="1:10" ht="15">
      <c r="A174" s="58" t="s">
        <v>745</v>
      </c>
      <c r="B174" s="58" t="s">
        <v>794</v>
      </c>
      <c r="C174" s="58" t="s">
        <v>793</v>
      </c>
      <c r="D174" s="58" t="s">
        <v>813</v>
      </c>
      <c r="E174" s="58">
        <v>4390505</v>
      </c>
      <c r="F174" s="58">
        <v>78</v>
      </c>
      <c r="G174" s="58">
        <v>171685</v>
      </c>
      <c r="H174" s="69">
        <v>45549</v>
      </c>
      <c r="I174" s="88">
        <v>0.12</v>
      </c>
      <c r="J174" s="58">
        <v>1318412.6399999999</v>
      </c>
    </row>
    <row r="175" spans="1:10" ht="15">
      <c r="A175" s="58" t="s">
        <v>745</v>
      </c>
      <c r="B175" s="58" t="s">
        <v>790</v>
      </c>
      <c r="C175" s="58" t="s">
        <v>809</v>
      </c>
      <c r="D175" s="58" t="s">
        <v>805</v>
      </c>
      <c r="E175" s="58">
        <v>3602273</v>
      </c>
      <c r="F175" s="58">
        <v>63</v>
      </c>
      <c r="G175" s="58">
        <v>205914</v>
      </c>
      <c r="H175" s="69">
        <v>44732</v>
      </c>
      <c r="I175" s="88">
        <v>0.05</v>
      </c>
      <c r="J175" s="58">
        <v>3817189.92</v>
      </c>
    </row>
    <row r="176" spans="1:10" ht="15">
      <c r="A176" s="58" t="s">
        <v>744</v>
      </c>
      <c r="B176" s="58" t="s">
        <v>790</v>
      </c>
      <c r="C176" s="58" t="s">
        <v>788</v>
      </c>
      <c r="D176" s="58" t="s">
        <v>789</v>
      </c>
      <c r="E176" s="58">
        <v>3000348</v>
      </c>
      <c r="F176" s="58">
        <v>31</v>
      </c>
      <c r="G176" s="58">
        <v>388367</v>
      </c>
      <c r="H176" s="69">
        <v>44817</v>
      </c>
      <c r="I176" s="88">
        <v>0.19</v>
      </c>
      <c r="J176" s="58">
        <v>3213549.24</v>
      </c>
    </row>
    <row r="177" spans="1:10" ht="15">
      <c r="A177" s="58" t="s">
        <v>741</v>
      </c>
      <c r="B177" s="58" t="s">
        <v>808</v>
      </c>
      <c r="C177" s="58" t="s">
        <v>788</v>
      </c>
      <c r="D177" s="58" t="s">
        <v>815</v>
      </c>
      <c r="E177" s="58">
        <v>20772</v>
      </c>
      <c r="F177" s="58">
        <v>51</v>
      </c>
      <c r="G177" s="58">
        <v>462794</v>
      </c>
      <c r="H177" s="69">
        <v>44941</v>
      </c>
      <c r="I177" s="88">
        <v>0.01</v>
      </c>
      <c r="J177" s="58">
        <v>1821535.56</v>
      </c>
    </row>
    <row r="178" spans="1:10" ht="15">
      <c r="A178" s="58" t="s">
        <v>743</v>
      </c>
      <c r="B178" s="58" t="s">
        <v>804</v>
      </c>
      <c r="C178" s="58" t="s">
        <v>809</v>
      </c>
      <c r="D178" s="58" t="s">
        <v>811</v>
      </c>
      <c r="E178" s="58">
        <v>4996506</v>
      </c>
      <c r="F178" s="58">
        <v>99</v>
      </c>
      <c r="G178" s="58">
        <v>95375</v>
      </c>
      <c r="H178" s="69">
        <v>44897</v>
      </c>
      <c r="I178" s="88">
        <v>0.49</v>
      </c>
      <c r="J178" s="58">
        <v>2407981.42</v>
      </c>
    </row>
    <row r="179" spans="1:10" ht="15">
      <c r="A179" s="58" t="s">
        <v>742</v>
      </c>
      <c r="B179" s="58" t="s">
        <v>809</v>
      </c>
      <c r="C179" s="58" t="s">
        <v>788</v>
      </c>
      <c r="D179" s="58" t="s">
        <v>815</v>
      </c>
      <c r="E179" s="58">
        <v>1584165</v>
      </c>
      <c r="F179" s="58">
        <v>80</v>
      </c>
      <c r="G179" s="58">
        <v>366409</v>
      </c>
      <c r="H179" s="69">
        <v>44784</v>
      </c>
      <c r="I179" s="88">
        <v>0.26</v>
      </c>
      <c r="J179" s="58">
        <v>1374403.8</v>
      </c>
    </row>
    <row r="180" spans="1:10" ht="15">
      <c r="A180" s="58" t="s">
        <v>743</v>
      </c>
      <c r="B180" s="58" t="s">
        <v>804</v>
      </c>
      <c r="C180" s="58" t="s">
        <v>788</v>
      </c>
      <c r="D180" s="58" t="s">
        <v>796</v>
      </c>
      <c r="E180" s="58">
        <v>165398</v>
      </c>
      <c r="F180" s="58">
        <v>65</v>
      </c>
      <c r="G180" s="58">
        <v>36148</v>
      </c>
      <c r="H180" s="69">
        <v>45272</v>
      </c>
      <c r="I180" s="88">
        <v>0.06</v>
      </c>
      <c r="J180" s="58">
        <v>3486083.04</v>
      </c>
    </row>
    <row r="181" spans="1:10" ht="15">
      <c r="A181" s="58" t="s">
        <v>745</v>
      </c>
      <c r="B181" s="58" t="s">
        <v>808</v>
      </c>
      <c r="C181" s="58" t="s">
        <v>799</v>
      </c>
      <c r="D181" s="58" t="s">
        <v>800</v>
      </c>
      <c r="E181" s="58">
        <v>4619016</v>
      </c>
      <c r="F181" s="58">
        <v>11</v>
      </c>
      <c r="G181" s="58">
        <v>24479</v>
      </c>
      <c r="H181" s="69">
        <v>44792</v>
      </c>
      <c r="I181" s="88">
        <v>0.17</v>
      </c>
      <c r="J181" s="58">
        <v>750865.31</v>
      </c>
    </row>
    <row r="182" spans="1:10" ht="15">
      <c r="A182" s="58" t="s">
        <v>743</v>
      </c>
      <c r="B182" s="58" t="s">
        <v>794</v>
      </c>
      <c r="C182" s="58" t="s">
        <v>788</v>
      </c>
      <c r="D182" s="58" t="s">
        <v>789</v>
      </c>
      <c r="E182" s="58">
        <v>213893</v>
      </c>
      <c r="F182" s="58">
        <v>48</v>
      </c>
      <c r="G182" s="58">
        <v>130091</v>
      </c>
      <c r="H182" s="69">
        <v>45566</v>
      </c>
      <c r="I182" s="88">
        <v>0.35</v>
      </c>
      <c r="J182" s="58">
        <v>424548.74</v>
      </c>
    </row>
    <row r="183" spans="1:10" ht="15">
      <c r="A183" s="58" t="s">
        <v>740</v>
      </c>
      <c r="B183" s="58" t="s">
        <v>792</v>
      </c>
      <c r="C183" s="58" t="s">
        <v>809</v>
      </c>
      <c r="D183" s="58" t="s">
        <v>812</v>
      </c>
      <c r="E183" s="58">
        <v>2111321</v>
      </c>
      <c r="F183" s="58">
        <v>89</v>
      </c>
      <c r="G183" s="58">
        <v>185260</v>
      </c>
      <c r="H183" s="69">
        <v>45364</v>
      </c>
      <c r="I183" s="88">
        <v>0.14000000000000001</v>
      </c>
      <c r="J183" s="58">
        <v>2040297.35</v>
      </c>
    </row>
    <row r="184" spans="1:10" ht="15">
      <c r="A184" s="58" t="s">
        <v>749</v>
      </c>
      <c r="B184" s="58" t="s">
        <v>787</v>
      </c>
      <c r="C184" s="58" t="s">
        <v>793</v>
      </c>
      <c r="D184" s="58" t="s">
        <v>805</v>
      </c>
      <c r="E184" s="58">
        <v>4628494</v>
      </c>
      <c r="F184" s="58">
        <v>5</v>
      </c>
      <c r="G184" s="58">
        <v>253928</v>
      </c>
      <c r="H184" s="69">
        <v>45604</v>
      </c>
      <c r="I184" s="88">
        <v>0.03</v>
      </c>
      <c r="J184" s="58">
        <v>4519765.4400000004</v>
      </c>
    </row>
    <row r="185" spans="1:10" ht="15">
      <c r="A185" s="58" t="s">
        <v>741</v>
      </c>
      <c r="B185" s="58" t="s">
        <v>804</v>
      </c>
      <c r="C185" s="58" t="s">
        <v>807</v>
      </c>
      <c r="D185" s="58" t="s">
        <v>803</v>
      </c>
      <c r="E185" s="58">
        <v>1807982</v>
      </c>
      <c r="F185" s="58">
        <v>59</v>
      </c>
      <c r="G185" s="58">
        <v>6181</v>
      </c>
      <c r="H185" s="69">
        <v>45559</v>
      </c>
      <c r="I185" s="88">
        <v>0.36</v>
      </c>
      <c r="J185" s="58">
        <v>2711620.8</v>
      </c>
    </row>
    <row r="186" spans="1:10" ht="15">
      <c r="A186" s="58" t="s">
        <v>741</v>
      </c>
      <c r="B186" s="58" t="s">
        <v>814</v>
      </c>
      <c r="C186" s="58" t="s">
        <v>793</v>
      </c>
      <c r="D186" s="58" t="s">
        <v>813</v>
      </c>
      <c r="E186" s="58">
        <v>4674812</v>
      </c>
      <c r="F186" s="58">
        <v>26</v>
      </c>
      <c r="G186" s="58">
        <v>86052</v>
      </c>
      <c r="H186" s="69">
        <v>44762</v>
      </c>
      <c r="I186" s="88">
        <v>0.39</v>
      </c>
      <c r="J186" s="58">
        <v>2626726.4</v>
      </c>
    </row>
    <row r="187" spans="1:10" ht="15">
      <c r="A187" s="58" t="s">
        <v>741</v>
      </c>
      <c r="B187" s="58" t="s">
        <v>814</v>
      </c>
      <c r="C187" s="58" t="s">
        <v>793</v>
      </c>
      <c r="D187" s="58" t="s">
        <v>812</v>
      </c>
      <c r="E187" s="58">
        <v>2861203</v>
      </c>
      <c r="F187" s="58">
        <v>18</v>
      </c>
      <c r="G187" s="58">
        <v>46282</v>
      </c>
      <c r="H187" s="69">
        <v>45360</v>
      </c>
      <c r="I187" s="88">
        <v>0.45</v>
      </c>
      <c r="J187" s="58">
        <v>554893.21</v>
      </c>
    </row>
    <row r="188" spans="1:10" ht="15">
      <c r="A188" s="58" t="s">
        <v>746</v>
      </c>
      <c r="B188" s="58" t="s">
        <v>814</v>
      </c>
      <c r="C188" s="58" t="s">
        <v>807</v>
      </c>
      <c r="D188" s="58" t="s">
        <v>815</v>
      </c>
      <c r="E188" s="58">
        <v>4375326</v>
      </c>
      <c r="F188" s="58">
        <v>76</v>
      </c>
      <c r="G188" s="58">
        <v>129970</v>
      </c>
      <c r="H188" s="69">
        <v>44819</v>
      </c>
      <c r="I188" s="88">
        <v>0.22</v>
      </c>
      <c r="J188" s="58">
        <v>2808990.92</v>
      </c>
    </row>
    <row r="189" spans="1:10" ht="15">
      <c r="A189" s="58" t="s">
        <v>747</v>
      </c>
      <c r="B189" s="58" t="s">
        <v>794</v>
      </c>
      <c r="C189" s="58" t="s">
        <v>799</v>
      </c>
      <c r="D189" s="58" t="s">
        <v>796</v>
      </c>
      <c r="E189" s="58">
        <v>2078103</v>
      </c>
      <c r="F189" s="58">
        <v>58</v>
      </c>
      <c r="G189" s="58">
        <v>70565</v>
      </c>
      <c r="H189" s="69">
        <v>44758</v>
      </c>
      <c r="I189" s="88">
        <v>0.37</v>
      </c>
      <c r="J189" s="58">
        <v>410148.9</v>
      </c>
    </row>
    <row r="190" spans="1:10" ht="15">
      <c r="A190" s="58" t="s">
        <v>745</v>
      </c>
      <c r="B190" s="58" t="s">
        <v>790</v>
      </c>
      <c r="C190" s="58" t="s">
        <v>799</v>
      </c>
      <c r="D190" s="58" t="s">
        <v>813</v>
      </c>
      <c r="E190" s="58">
        <v>1226931</v>
      </c>
      <c r="F190" s="58">
        <v>79</v>
      </c>
      <c r="G190" s="58">
        <v>429409</v>
      </c>
      <c r="H190" s="69">
        <v>44618</v>
      </c>
      <c r="I190" s="88">
        <v>0.08</v>
      </c>
      <c r="J190" s="58">
        <v>746840.88</v>
      </c>
    </row>
    <row r="191" spans="1:10" ht="15">
      <c r="A191" s="58" t="s">
        <v>749</v>
      </c>
      <c r="B191" s="58" t="s">
        <v>797</v>
      </c>
      <c r="C191" s="58" t="s">
        <v>799</v>
      </c>
      <c r="D191" s="58" t="s">
        <v>805</v>
      </c>
      <c r="E191" s="58">
        <v>2836174</v>
      </c>
      <c r="F191" s="58">
        <v>5</v>
      </c>
      <c r="G191" s="58">
        <v>311322</v>
      </c>
      <c r="H191" s="69">
        <v>44757</v>
      </c>
      <c r="I191" s="88">
        <v>0.24</v>
      </c>
      <c r="J191" s="58">
        <v>1651827.24</v>
      </c>
    </row>
    <row r="192" spans="1:10" ht="15">
      <c r="A192" s="58" t="s">
        <v>741</v>
      </c>
      <c r="B192" s="58" t="s">
        <v>808</v>
      </c>
      <c r="C192" s="58" t="s">
        <v>798</v>
      </c>
      <c r="D192" s="58" t="s">
        <v>801</v>
      </c>
      <c r="E192" s="58">
        <v>2237503</v>
      </c>
      <c r="F192" s="58">
        <v>84</v>
      </c>
      <c r="G192" s="58">
        <v>484213</v>
      </c>
      <c r="H192" s="69">
        <v>45301</v>
      </c>
      <c r="I192" s="88">
        <v>0.09</v>
      </c>
      <c r="J192" s="58">
        <v>1147827.8700000001</v>
      </c>
    </row>
    <row r="193" spans="1:10" ht="15">
      <c r="A193" s="58" t="s">
        <v>747</v>
      </c>
      <c r="B193" s="58" t="s">
        <v>802</v>
      </c>
      <c r="C193" s="58" t="s">
        <v>809</v>
      </c>
      <c r="D193" s="58" t="s">
        <v>811</v>
      </c>
      <c r="E193" s="58">
        <v>12736</v>
      </c>
      <c r="F193" s="58">
        <v>4</v>
      </c>
      <c r="G193" s="58">
        <v>442735</v>
      </c>
      <c r="H193" s="69">
        <v>45641</v>
      </c>
      <c r="I193" s="88">
        <v>0.15</v>
      </c>
      <c r="J193" s="58">
        <v>1969344.8</v>
      </c>
    </row>
    <row r="194" spans="1:10" ht="15">
      <c r="A194" s="58" t="s">
        <v>745</v>
      </c>
      <c r="B194" s="58" t="s">
        <v>797</v>
      </c>
      <c r="C194" s="58" t="s">
        <v>798</v>
      </c>
      <c r="D194" s="58" t="s">
        <v>796</v>
      </c>
      <c r="E194" s="58">
        <v>701161</v>
      </c>
      <c r="F194" s="58">
        <v>5</v>
      </c>
      <c r="G194" s="58">
        <v>106523</v>
      </c>
      <c r="H194" s="69">
        <v>45397</v>
      </c>
      <c r="I194" s="88">
        <v>0.22</v>
      </c>
      <c r="J194" s="58">
        <v>3976804.06</v>
      </c>
    </row>
    <row r="195" spans="1:10" ht="15">
      <c r="A195" s="58" t="s">
        <v>740</v>
      </c>
      <c r="B195" s="58" t="s">
        <v>792</v>
      </c>
      <c r="C195" s="58" t="s">
        <v>799</v>
      </c>
      <c r="D195" s="58" t="s">
        <v>789</v>
      </c>
      <c r="E195" s="58">
        <v>576544</v>
      </c>
      <c r="F195" s="58">
        <v>31</v>
      </c>
      <c r="G195" s="58">
        <v>69871</v>
      </c>
      <c r="H195" s="69">
        <v>45219</v>
      </c>
      <c r="I195" s="88">
        <v>0.44</v>
      </c>
      <c r="J195" s="58">
        <v>2996399.51</v>
      </c>
    </row>
    <row r="196" spans="1:10" ht="15">
      <c r="A196" s="58" t="s">
        <v>746</v>
      </c>
      <c r="B196" s="58" t="s">
        <v>814</v>
      </c>
      <c r="C196" s="58" t="s">
        <v>793</v>
      </c>
      <c r="D196" s="58" t="s">
        <v>812</v>
      </c>
      <c r="E196" s="58">
        <v>1150800</v>
      </c>
      <c r="F196" s="58">
        <v>1</v>
      </c>
      <c r="G196" s="58">
        <v>76717</v>
      </c>
      <c r="H196" s="69">
        <v>44987</v>
      </c>
      <c r="I196" s="88">
        <v>0.18</v>
      </c>
      <c r="J196" s="58">
        <v>3244381.4</v>
      </c>
    </row>
    <row r="197" spans="1:10" ht="15">
      <c r="A197" s="58" t="s">
        <v>747</v>
      </c>
      <c r="B197" s="58" t="s">
        <v>790</v>
      </c>
      <c r="C197" s="58" t="s">
        <v>798</v>
      </c>
      <c r="D197" s="58" t="s">
        <v>800</v>
      </c>
      <c r="E197" s="58">
        <v>4125233</v>
      </c>
      <c r="F197" s="58">
        <v>61</v>
      </c>
      <c r="G197" s="58">
        <v>310145</v>
      </c>
      <c r="H197" s="69">
        <v>45179</v>
      </c>
      <c r="I197" s="88">
        <v>0.35</v>
      </c>
      <c r="J197" s="58">
        <v>2038144.68</v>
      </c>
    </row>
    <row r="198" spans="1:10" ht="15">
      <c r="A198" s="58" t="s">
        <v>740</v>
      </c>
      <c r="B198" s="58" t="s">
        <v>809</v>
      </c>
      <c r="C198" s="58" t="s">
        <v>807</v>
      </c>
      <c r="D198" s="58" t="s">
        <v>789</v>
      </c>
      <c r="E198" s="58">
        <v>932568</v>
      </c>
      <c r="F198" s="58">
        <v>66</v>
      </c>
      <c r="G198" s="58">
        <v>270566</v>
      </c>
      <c r="H198" s="69">
        <v>44945</v>
      </c>
      <c r="I198" s="88">
        <v>0.36</v>
      </c>
      <c r="J198" s="58">
        <v>1778794.65</v>
      </c>
    </row>
    <row r="199" spans="1:10" ht="15">
      <c r="A199" s="58" t="s">
        <v>740</v>
      </c>
      <c r="B199" s="58" t="s">
        <v>809</v>
      </c>
      <c r="C199" s="58" t="s">
        <v>807</v>
      </c>
      <c r="D199" s="58" t="s">
        <v>812</v>
      </c>
      <c r="E199" s="58">
        <v>4050449</v>
      </c>
      <c r="F199" s="58">
        <v>79</v>
      </c>
      <c r="G199" s="58">
        <v>49944</v>
      </c>
      <c r="H199" s="69">
        <v>45424</v>
      </c>
      <c r="I199" s="88">
        <v>0.39</v>
      </c>
      <c r="J199" s="58">
        <v>1135983.78</v>
      </c>
    </row>
    <row r="200" spans="1:10" ht="15">
      <c r="A200" s="58" t="s">
        <v>740</v>
      </c>
      <c r="B200" s="58" t="s">
        <v>814</v>
      </c>
      <c r="C200" s="58" t="s">
        <v>798</v>
      </c>
      <c r="D200" s="58" t="s">
        <v>815</v>
      </c>
      <c r="E200" s="58">
        <v>1724869</v>
      </c>
      <c r="F200" s="58">
        <v>83</v>
      </c>
      <c r="G200" s="58">
        <v>247737</v>
      </c>
      <c r="H200" s="69">
        <v>45512</v>
      </c>
      <c r="I200" s="88">
        <v>0.4</v>
      </c>
      <c r="J200" s="58">
        <v>1270186.3799999999</v>
      </c>
    </row>
    <row r="201" spans="1:10" ht="15">
      <c r="A201" s="58" t="s">
        <v>740</v>
      </c>
      <c r="B201" s="58" t="s">
        <v>792</v>
      </c>
      <c r="C201" s="58" t="s">
        <v>788</v>
      </c>
      <c r="D201" s="58" t="s">
        <v>803</v>
      </c>
      <c r="E201" s="58">
        <v>756838</v>
      </c>
      <c r="F201" s="58">
        <v>8</v>
      </c>
      <c r="G201" s="58">
        <v>77628</v>
      </c>
      <c r="H201" s="69">
        <v>44879</v>
      </c>
      <c r="I201" s="88">
        <v>0.33</v>
      </c>
      <c r="J201" s="58">
        <v>2025637.04</v>
      </c>
    </row>
    <row r="202" spans="1:10" ht="15">
      <c r="A202" s="58" t="s">
        <v>749</v>
      </c>
      <c r="B202" s="58" t="s">
        <v>809</v>
      </c>
      <c r="C202" s="58" t="s">
        <v>798</v>
      </c>
      <c r="D202" s="58" t="s">
        <v>791</v>
      </c>
      <c r="E202" s="58">
        <v>3388381</v>
      </c>
      <c r="F202" s="58">
        <v>19</v>
      </c>
      <c r="G202" s="58">
        <v>403260</v>
      </c>
      <c r="H202" s="69">
        <v>44579</v>
      </c>
      <c r="I202" s="88">
        <v>0.25</v>
      </c>
      <c r="J202" s="58">
        <v>1917910.35</v>
      </c>
    </row>
    <row r="203" spans="1:10" ht="15">
      <c r="A203" s="58" t="s">
        <v>742</v>
      </c>
      <c r="B203" s="58" t="s">
        <v>814</v>
      </c>
      <c r="C203" s="58" t="s">
        <v>809</v>
      </c>
      <c r="D203" s="58" t="s">
        <v>789</v>
      </c>
      <c r="E203" s="58">
        <v>2733274</v>
      </c>
      <c r="F203" s="58">
        <v>55</v>
      </c>
      <c r="G203" s="58">
        <v>239899</v>
      </c>
      <c r="H203" s="69">
        <v>45512</v>
      </c>
      <c r="I203" s="88">
        <v>0.23</v>
      </c>
      <c r="J203" s="58">
        <v>459431.78</v>
      </c>
    </row>
    <row r="204" spans="1:10" ht="15">
      <c r="A204" s="58" t="s">
        <v>740</v>
      </c>
      <c r="B204" s="58" t="s">
        <v>790</v>
      </c>
      <c r="C204" s="58" t="s">
        <v>807</v>
      </c>
      <c r="D204" s="58" t="s">
        <v>803</v>
      </c>
      <c r="E204" s="58">
        <v>3840798</v>
      </c>
      <c r="F204" s="58">
        <v>31</v>
      </c>
      <c r="G204" s="58">
        <v>137690</v>
      </c>
      <c r="H204" s="69">
        <v>45456</v>
      </c>
      <c r="I204" s="88">
        <v>7.0000000000000007E-2</v>
      </c>
      <c r="J204" s="58">
        <v>2175747.21</v>
      </c>
    </row>
    <row r="205" spans="1:10" ht="15">
      <c r="A205" s="58" t="s">
        <v>742</v>
      </c>
      <c r="B205" s="58" t="s">
        <v>802</v>
      </c>
      <c r="C205" s="58" t="s">
        <v>809</v>
      </c>
      <c r="D205" s="58" t="s">
        <v>813</v>
      </c>
      <c r="E205" s="58">
        <v>3748304</v>
      </c>
      <c r="F205" s="58">
        <v>77</v>
      </c>
      <c r="G205" s="58">
        <v>279590</v>
      </c>
      <c r="H205" s="69">
        <v>45368</v>
      </c>
      <c r="I205" s="88">
        <v>0.49</v>
      </c>
      <c r="J205" s="58">
        <v>2698245.48</v>
      </c>
    </row>
    <row r="206" spans="1:10" ht="15">
      <c r="A206" s="58" t="s">
        <v>747</v>
      </c>
      <c r="B206" s="58" t="s">
        <v>804</v>
      </c>
      <c r="C206" s="58" t="s">
        <v>799</v>
      </c>
      <c r="D206" s="58" t="s">
        <v>812</v>
      </c>
      <c r="E206" s="58">
        <v>3075057</v>
      </c>
      <c r="F206" s="58">
        <v>20</v>
      </c>
      <c r="G206" s="58">
        <v>304857</v>
      </c>
      <c r="H206" s="69">
        <v>45115</v>
      </c>
      <c r="I206" s="88">
        <v>0.01</v>
      </c>
      <c r="J206" s="58">
        <v>2892655.41</v>
      </c>
    </row>
    <row r="207" spans="1:10" ht="15">
      <c r="A207" s="58" t="s">
        <v>745</v>
      </c>
      <c r="B207" s="58" t="s">
        <v>792</v>
      </c>
      <c r="C207" s="58" t="s">
        <v>798</v>
      </c>
      <c r="D207" s="58" t="s">
        <v>806</v>
      </c>
      <c r="E207" s="58">
        <v>3204053</v>
      </c>
      <c r="F207" s="58">
        <v>34</v>
      </c>
      <c r="G207" s="58">
        <v>148330</v>
      </c>
      <c r="H207" s="69">
        <v>45332</v>
      </c>
      <c r="I207" s="88">
        <v>0.08</v>
      </c>
      <c r="J207" s="58">
        <v>1205523</v>
      </c>
    </row>
    <row r="208" spans="1:10" ht="15">
      <c r="A208" s="58" t="s">
        <v>748</v>
      </c>
      <c r="B208" s="58" t="s">
        <v>804</v>
      </c>
      <c r="C208" s="58" t="s">
        <v>798</v>
      </c>
      <c r="D208" s="58" t="s">
        <v>812</v>
      </c>
      <c r="E208" s="58">
        <v>4308464</v>
      </c>
      <c r="F208" s="58">
        <v>53</v>
      </c>
      <c r="G208" s="58">
        <v>473148</v>
      </c>
      <c r="H208" s="69">
        <v>45248</v>
      </c>
      <c r="I208" s="88">
        <v>0.1</v>
      </c>
      <c r="J208" s="58">
        <v>2279273.6</v>
      </c>
    </row>
    <row r="209" spans="1:10" ht="15">
      <c r="A209" s="58" t="s">
        <v>744</v>
      </c>
      <c r="B209" s="58" t="s">
        <v>804</v>
      </c>
      <c r="C209" s="58" t="s">
        <v>799</v>
      </c>
      <c r="D209" s="58" t="s">
        <v>796</v>
      </c>
      <c r="E209" s="58">
        <v>4468406</v>
      </c>
      <c r="F209" s="58">
        <v>36</v>
      </c>
      <c r="G209" s="58">
        <v>449510</v>
      </c>
      <c r="H209" s="69">
        <v>44958</v>
      </c>
      <c r="I209" s="88">
        <v>0.37</v>
      </c>
      <c r="J209" s="58">
        <v>231727.5</v>
      </c>
    </row>
    <row r="210" spans="1:10" ht="15">
      <c r="A210" s="58" t="s">
        <v>740</v>
      </c>
      <c r="B210" s="58" t="s">
        <v>787</v>
      </c>
      <c r="C210" s="58" t="s">
        <v>799</v>
      </c>
      <c r="D210" s="58" t="s">
        <v>815</v>
      </c>
      <c r="E210" s="58">
        <v>2540976</v>
      </c>
      <c r="F210" s="58">
        <v>49</v>
      </c>
      <c r="G210" s="58">
        <v>313596</v>
      </c>
      <c r="H210" s="69">
        <v>45326</v>
      </c>
      <c r="I210" s="88">
        <v>0.25</v>
      </c>
      <c r="J210" s="58">
        <v>119252.56</v>
      </c>
    </row>
    <row r="211" spans="1:10" ht="15">
      <c r="A211" s="58" t="s">
        <v>747</v>
      </c>
      <c r="B211" s="58" t="s">
        <v>808</v>
      </c>
      <c r="C211" s="58" t="s">
        <v>788</v>
      </c>
      <c r="D211" s="58" t="s">
        <v>789</v>
      </c>
      <c r="E211" s="58">
        <v>2888943</v>
      </c>
      <c r="F211" s="58">
        <v>25</v>
      </c>
      <c r="G211" s="58">
        <v>392332</v>
      </c>
      <c r="H211" s="69">
        <v>45370</v>
      </c>
      <c r="I211" s="88">
        <v>7.0000000000000007E-2</v>
      </c>
      <c r="J211" s="58">
        <v>1022997.36</v>
      </c>
    </row>
    <row r="212" spans="1:10" ht="15">
      <c r="A212" s="58" t="s">
        <v>743</v>
      </c>
      <c r="B212" s="58" t="s">
        <v>792</v>
      </c>
      <c r="C212" s="58" t="s">
        <v>795</v>
      </c>
      <c r="D212" s="58" t="s">
        <v>813</v>
      </c>
      <c r="E212" s="58">
        <v>4354561</v>
      </c>
      <c r="F212" s="58">
        <v>87</v>
      </c>
      <c r="G212" s="58">
        <v>103614</v>
      </c>
      <c r="H212" s="69">
        <v>45025</v>
      </c>
      <c r="I212" s="88">
        <v>0.08</v>
      </c>
      <c r="J212" s="58">
        <v>2461262.2799999998</v>
      </c>
    </row>
    <row r="213" spans="1:10" ht="15">
      <c r="A213" s="58" t="s">
        <v>747</v>
      </c>
      <c r="B213" s="58" t="s">
        <v>808</v>
      </c>
      <c r="C213" s="58" t="s">
        <v>799</v>
      </c>
      <c r="D213" s="58" t="s">
        <v>813</v>
      </c>
      <c r="E213" s="58">
        <v>4667247</v>
      </c>
      <c r="F213" s="58">
        <v>75</v>
      </c>
      <c r="G213" s="58">
        <v>259304</v>
      </c>
      <c r="H213" s="69">
        <v>45376</v>
      </c>
      <c r="I213" s="88">
        <v>0.16</v>
      </c>
      <c r="J213" s="58">
        <v>538574.67000000004</v>
      </c>
    </row>
    <row r="214" spans="1:10" ht="15">
      <c r="A214" s="58" t="s">
        <v>747</v>
      </c>
      <c r="B214" s="58" t="s">
        <v>814</v>
      </c>
      <c r="C214" s="58" t="s">
        <v>807</v>
      </c>
      <c r="D214" s="58" t="s">
        <v>811</v>
      </c>
      <c r="E214" s="58">
        <v>3348471</v>
      </c>
      <c r="F214" s="58">
        <v>32</v>
      </c>
      <c r="G214" s="58">
        <v>379528</v>
      </c>
      <c r="H214" s="69">
        <v>45308</v>
      </c>
      <c r="I214" s="88">
        <v>0.35</v>
      </c>
      <c r="J214" s="58">
        <v>3423226.56</v>
      </c>
    </row>
    <row r="215" spans="1:10" ht="15">
      <c r="A215" s="58" t="s">
        <v>747</v>
      </c>
      <c r="B215" s="58" t="s">
        <v>797</v>
      </c>
      <c r="C215" s="58" t="s">
        <v>788</v>
      </c>
      <c r="D215" s="58" t="s">
        <v>796</v>
      </c>
      <c r="E215" s="58">
        <v>2258996</v>
      </c>
      <c r="F215" s="58">
        <v>57</v>
      </c>
      <c r="G215" s="58">
        <v>226752</v>
      </c>
      <c r="H215" s="69">
        <v>45064</v>
      </c>
      <c r="I215" s="88">
        <v>0.04</v>
      </c>
      <c r="J215" s="58">
        <v>2019543.96</v>
      </c>
    </row>
    <row r="216" spans="1:10" ht="15">
      <c r="A216" s="58" t="s">
        <v>747</v>
      </c>
      <c r="B216" s="58" t="s">
        <v>804</v>
      </c>
      <c r="C216" s="58" t="s">
        <v>809</v>
      </c>
      <c r="D216" s="58" t="s">
        <v>803</v>
      </c>
      <c r="E216" s="58">
        <v>372076</v>
      </c>
      <c r="F216" s="58">
        <v>62</v>
      </c>
      <c r="G216" s="58">
        <v>144802</v>
      </c>
      <c r="H216" s="69">
        <v>44734</v>
      </c>
      <c r="I216" s="88">
        <v>0.45</v>
      </c>
      <c r="J216" s="58">
        <v>1077013.21</v>
      </c>
    </row>
    <row r="217" spans="1:10" ht="15">
      <c r="A217" s="58" t="s">
        <v>741</v>
      </c>
      <c r="B217" s="58" t="s">
        <v>790</v>
      </c>
      <c r="C217" s="58" t="s">
        <v>799</v>
      </c>
      <c r="D217" s="58" t="s">
        <v>806</v>
      </c>
      <c r="E217" s="58">
        <v>4963232</v>
      </c>
      <c r="F217" s="58">
        <v>46</v>
      </c>
      <c r="G217" s="58">
        <v>162387</v>
      </c>
      <c r="H217" s="69">
        <v>44658</v>
      </c>
      <c r="I217" s="88">
        <v>0.36</v>
      </c>
      <c r="J217" s="58">
        <v>1147511.94</v>
      </c>
    </row>
    <row r="218" spans="1:10" ht="15">
      <c r="A218" s="58" t="s">
        <v>749</v>
      </c>
      <c r="B218" s="58" t="s">
        <v>790</v>
      </c>
      <c r="C218" s="58" t="s">
        <v>799</v>
      </c>
      <c r="D218" s="58" t="s">
        <v>812</v>
      </c>
      <c r="E218" s="58">
        <v>2739040</v>
      </c>
      <c r="F218" s="58">
        <v>9</v>
      </c>
      <c r="G218" s="58">
        <v>262216</v>
      </c>
      <c r="H218" s="69">
        <v>44994</v>
      </c>
      <c r="I218" s="88">
        <v>0.21</v>
      </c>
      <c r="J218" s="58">
        <v>2547510</v>
      </c>
    </row>
    <row r="219" spans="1:10" ht="15">
      <c r="A219" s="58" t="s">
        <v>748</v>
      </c>
      <c r="B219" s="58" t="s">
        <v>809</v>
      </c>
      <c r="C219" s="58" t="s">
        <v>799</v>
      </c>
      <c r="D219" s="58" t="s">
        <v>806</v>
      </c>
      <c r="E219" s="58">
        <v>2782289</v>
      </c>
      <c r="F219" s="58">
        <v>74</v>
      </c>
      <c r="G219" s="58">
        <v>314450</v>
      </c>
      <c r="H219" s="69">
        <v>45483</v>
      </c>
      <c r="I219" s="88">
        <v>0.21</v>
      </c>
      <c r="J219" s="58">
        <v>2872604.68</v>
      </c>
    </row>
    <row r="220" spans="1:10" ht="15">
      <c r="A220" s="58" t="s">
        <v>740</v>
      </c>
      <c r="B220" s="58" t="s">
        <v>790</v>
      </c>
      <c r="C220" s="58" t="s">
        <v>798</v>
      </c>
      <c r="D220" s="58" t="s">
        <v>791</v>
      </c>
      <c r="E220" s="58">
        <v>1880985</v>
      </c>
      <c r="F220" s="58">
        <v>45</v>
      </c>
      <c r="G220" s="58">
        <v>374709</v>
      </c>
      <c r="H220" s="69">
        <v>45391</v>
      </c>
      <c r="I220" s="88">
        <v>0.03</v>
      </c>
      <c r="J220" s="58">
        <v>1250858.24</v>
      </c>
    </row>
    <row r="221" spans="1:10" ht="15">
      <c r="A221" s="58" t="s">
        <v>747</v>
      </c>
      <c r="B221" s="58" t="s">
        <v>809</v>
      </c>
      <c r="C221" s="58" t="s">
        <v>799</v>
      </c>
      <c r="D221" s="58" t="s">
        <v>796</v>
      </c>
      <c r="E221" s="58">
        <v>4206889</v>
      </c>
      <c r="F221" s="58">
        <v>23</v>
      </c>
      <c r="G221" s="58">
        <v>457614</v>
      </c>
      <c r="H221" s="69">
        <v>44768</v>
      </c>
      <c r="I221" s="88">
        <v>0.05</v>
      </c>
      <c r="J221" s="58">
        <v>3492894.79</v>
      </c>
    </row>
    <row r="222" spans="1:10" ht="15">
      <c r="A222" s="58" t="s">
        <v>749</v>
      </c>
      <c r="B222" s="58" t="s">
        <v>797</v>
      </c>
      <c r="C222" s="58" t="s">
        <v>798</v>
      </c>
      <c r="D222" s="58" t="s">
        <v>813</v>
      </c>
      <c r="E222" s="58">
        <v>543779</v>
      </c>
      <c r="F222" s="58">
        <v>58</v>
      </c>
      <c r="G222" s="58">
        <v>259550</v>
      </c>
      <c r="H222" s="69">
        <v>45196</v>
      </c>
      <c r="I222" s="88">
        <v>0.25</v>
      </c>
      <c r="J222" s="58">
        <v>591215.31000000006</v>
      </c>
    </row>
    <row r="223" spans="1:10" ht="15">
      <c r="A223" s="58" t="s">
        <v>742</v>
      </c>
      <c r="B223" s="58" t="s">
        <v>804</v>
      </c>
      <c r="C223" s="58" t="s">
        <v>798</v>
      </c>
      <c r="D223" s="58" t="s">
        <v>796</v>
      </c>
      <c r="E223" s="58">
        <v>580350</v>
      </c>
      <c r="F223" s="58">
        <v>100</v>
      </c>
      <c r="G223" s="58">
        <v>354932</v>
      </c>
      <c r="H223" s="69">
        <v>44915</v>
      </c>
      <c r="I223" s="88">
        <v>0.32</v>
      </c>
      <c r="J223" s="58">
        <v>2056800.35</v>
      </c>
    </row>
    <row r="224" spans="1:10" ht="15">
      <c r="A224" s="58" t="s">
        <v>749</v>
      </c>
      <c r="B224" s="58" t="s">
        <v>814</v>
      </c>
      <c r="C224" s="58" t="s">
        <v>809</v>
      </c>
      <c r="D224" s="58" t="s">
        <v>791</v>
      </c>
      <c r="E224" s="58">
        <v>172486</v>
      </c>
      <c r="F224" s="58">
        <v>14</v>
      </c>
      <c r="G224" s="58">
        <v>15449</v>
      </c>
      <c r="H224" s="69">
        <v>45147</v>
      </c>
      <c r="I224" s="88">
        <v>0.13</v>
      </c>
      <c r="J224" s="58">
        <v>3966066.95</v>
      </c>
    </row>
    <row r="225" spans="1:10" ht="15">
      <c r="A225" s="58" t="s">
        <v>748</v>
      </c>
      <c r="B225" s="58" t="s">
        <v>802</v>
      </c>
      <c r="C225" s="58" t="s">
        <v>809</v>
      </c>
      <c r="D225" s="58" t="s">
        <v>796</v>
      </c>
      <c r="E225" s="58">
        <v>2401191</v>
      </c>
      <c r="F225" s="58">
        <v>81</v>
      </c>
      <c r="G225" s="58">
        <v>34648</v>
      </c>
      <c r="H225" s="69">
        <v>45525</v>
      </c>
      <c r="I225" s="88">
        <v>0.28000000000000003</v>
      </c>
      <c r="J225" s="58">
        <v>764790.6</v>
      </c>
    </row>
    <row r="226" spans="1:10" ht="15">
      <c r="A226" s="58" t="s">
        <v>740</v>
      </c>
      <c r="B226" s="58" t="s">
        <v>808</v>
      </c>
      <c r="C226" s="58" t="s">
        <v>799</v>
      </c>
      <c r="D226" s="58" t="s">
        <v>789</v>
      </c>
      <c r="E226" s="58">
        <v>4370392</v>
      </c>
      <c r="F226" s="58">
        <v>92</v>
      </c>
      <c r="G226" s="58">
        <v>183985</v>
      </c>
      <c r="H226" s="69">
        <v>45549</v>
      </c>
      <c r="I226" s="88">
        <v>0.18</v>
      </c>
      <c r="J226" s="58">
        <v>2541473.5499999998</v>
      </c>
    </row>
    <row r="227" spans="1:10" ht="15">
      <c r="A227" s="58" t="s">
        <v>744</v>
      </c>
      <c r="B227" s="58" t="s">
        <v>808</v>
      </c>
      <c r="C227" s="58" t="s">
        <v>809</v>
      </c>
      <c r="D227" s="58" t="s">
        <v>791</v>
      </c>
      <c r="E227" s="58">
        <v>1987570</v>
      </c>
      <c r="F227" s="58">
        <v>16</v>
      </c>
      <c r="G227" s="58">
        <v>291023</v>
      </c>
      <c r="H227" s="69">
        <v>44781</v>
      </c>
      <c r="I227" s="88">
        <v>0.46</v>
      </c>
      <c r="J227" s="58">
        <v>2114277</v>
      </c>
    </row>
    <row r="228" spans="1:10" ht="15">
      <c r="A228" s="58" t="s">
        <v>745</v>
      </c>
      <c r="B228" s="58" t="s">
        <v>792</v>
      </c>
      <c r="C228" s="58" t="s">
        <v>793</v>
      </c>
      <c r="D228" s="58" t="s">
        <v>811</v>
      </c>
      <c r="E228" s="58">
        <v>4728603</v>
      </c>
      <c r="F228" s="58">
        <v>30</v>
      </c>
      <c r="G228" s="58">
        <v>426733</v>
      </c>
      <c r="H228" s="69">
        <v>44953</v>
      </c>
      <c r="I228" s="88">
        <v>0.11</v>
      </c>
      <c r="J228" s="58">
        <v>3135557.52</v>
      </c>
    </row>
    <row r="229" spans="1:10" ht="15">
      <c r="A229" s="58" t="s">
        <v>748</v>
      </c>
      <c r="B229" s="58" t="s">
        <v>809</v>
      </c>
      <c r="C229" s="58" t="s">
        <v>799</v>
      </c>
      <c r="D229" s="58" t="s">
        <v>811</v>
      </c>
      <c r="E229" s="58">
        <v>3480955</v>
      </c>
      <c r="F229" s="58">
        <v>53</v>
      </c>
      <c r="G229" s="58">
        <v>4480</v>
      </c>
      <c r="H229" s="69">
        <v>45088</v>
      </c>
      <c r="I229" s="88">
        <v>0.05</v>
      </c>
      <c r="J229" s="58">
        <v>1455825.59</v>
      </c>
    </row>
    <row r="230" spans="1:10" ht="15">
      <c r="A230" s="58" t="s">
        <v>749</v>
      </c>
      <c r="B230" s="58" t="s">
        <v>802</v>
      </c>
      <c r="C230" s="58" t="s">
        <v>809</v>
      </c>
      <c r="D230" s="58" t="s">
        <v>789</v>
      </c>
      <c r="E230" s="58">
        <v>3651734</v>
      </c>
      <c r="F230" s="58">
        <v>100</v>
      </c>
      <c r="G230" s="58">
        <v>78820</v>
      </c>
      <c r="H230" s="69">
        <v>45614</v>
      </c>
      <c r="I230" s="88">
        <v>0.39</v>
      </c>
      <c r="J230" s="58">
        <v>376282.65</v>
      </c>
    </row>
    <row r="231" spans="1:10" ht="15">
      <c r="A231" s="58" t="s">
        <v>741</v>
      </c>
      <c r="B231" s="58" t="s">
        <v>808</v>
      </c>
      <c r="C231" s="58" t="s">
        <v>807</v>
      </c>
      <c r="D231" s="58" t="s">
        <v>815</v>
      </c>
      <c r="E231" s="58">
        <v>1649124</v>
      </c>
      <c r="F231" s="58">
        <v>71</v>
      </c>
      <c r="G231" s="58">
        <v>135593</v>
      </c>
      <c r="H231" s="69">
        <v>45142</v>
      </c>
      <c r="I231" s="88">
        <v>0.47</v>
      </c>
      <c r="J231" s="58">
        <v>2791579.05</v>
      </c>
    </row>
    <row r="232" spans="1:10" ht="15">
      <c r="A232" s="58" t="s">
        <v>746</v>
      </c>
      <c r="B232" s="58" t="s">
        <v>809</v>
      </c>
      <c r="C232" s="58" t="s">
        <v>798</v>
      </c>
      <c r="D232" s="58" t="s">
        <v>805</v>
      </c>
      <c r="E232" s="58">
        <v>554685</v>
      </c>
      <c r="F232" s="58">
        <v>42</v>
      </c>
      <c r="G232" s="58">
        <v>146035</v>
      </c>
      <c r="H232" s="69">
        <v>45256</v>
      </c>
      <c r="I232" s="88">
        <v>0.11</v>
      </c>
      <c r="J232" s="58">
        <v>1705995.9</v>
      </c>
    </row>
    <row r="233" spans="1:10" ht="15">
      <c r="A233" s="58" t="s">
        <v>746</v>
      </c>
      <c r="B233" s="58" t="s">
        <v>787</v>
      </c>
      <c r="C233" s="58" t="s">
        <v>807</v>
      </c>
      <c r="D233" s="58" t="s">
        <v>815</v>
      </c>
      <c r="E233" s="58">
        <v>2701624</v>
      </c>
      <c r="F233" s="58">
        <v>50</v>
      </c>
      <c r="G233" s="58">
        <v>204157</v>
      </c>
      <c r="H233" s="69">
        <v>45188</v>
      </c>
      <c r="I233" s="88">
        <v>0.26</v>
      </c>
      <c r="J233" s="58">
        <v>1007207.76</v>
      </c>
    </row>
    <row r="234" spans="1:10" ht="15">
      <c r="A234" s="58" t="s">
        <v>747</v>
      </c>
      <c r="B234" s="58" t="s">
        <v>790</v>
      </c>
      <c r="C234" s="58" t="s">
        <v>809</v>
      </c>
      <c r="D234" s="58" t="s">
        <v>803</v>
      </c>
      <c r="E234" s="58">
        <v>4098837</v>
      </c>
      <c r="F234" s="58">
        <v>71</v>
      </c>
      <c r="G234" s="58">
        <v>48966</v>
      </c>
      <c r="H234" s="69">
        <v>45353</v>
      </c>
      <c r="I234" s="88">
        <v>0.43</v>
      </c>
      <c r="J234" s="58">
        <v>2689965.46</v>
      </c>
    </row>
    <row r="235" spans="1:10" ht="15">
      <c r="A235" s="58" t="s">
        <v>740</v>
      </c>
      <c r="B235" s="58" t="s">
        <v>787</v>
      </c>
      <c r="C235" s="58" t="s">
        <v>793</v>
      </c>
      <c r="D235" s="58" t="s">
        <v>812</v>
      </c>
      <c r="E235" s="58">
        <v>101128</v>
      </c>
      <c r="F235" s="58">
        <v>20</v>
      </c>
      <c r="G235" s="58">
        <v>451547</v>
      </c>
      <c r="H235" s="69">
        <v>44961</v>
      </c>
      <c r="I235" s="88">
        <v>0.37</v>
      </c>
      <c r="J235" s="58">
        <v>808972.78</v>
      </c>
    </row>
    <row r="236" spans="1:10" ht="15">
      <c r="A236" s="58" t="s">
        <v>745</v>
      </c>
      <c r="B236" s="58" t="s">
        <v>794</v>
      </c>
      <c r="C236" s="58" t="s">
        <v>793</v>
      </c>
      <c r="D236" s="58" t="s">
        <v>800</v>
      </c>
      <c r="E236" s="58">
        <v>3492735</v>
      </c>
      <c r="F236" s="58">
        <v>10</v>
      </c>
      <c r="G236" s="58">
        <v>210134</v>
      </c>
      <c r="H236" s="69">
        <v>44632</v>
      </c>
      <c r="I236" s="88">
        <v>0.23</v>
      </c>
      <c r="J236" s="58">
        <v>1331661.1299999999</v>
      </c>
    </row>
    <row r="237" spans="1:10" ht="15">
      <c r="A237" s="58" t="s">
        <v>743</v>
      </c>
      <c r="B237" s="58" t="s">
        <v>792</v>
      </c>
      <c r="C237" s="58" t="s">
        <v>798</v>
      </c>
      <c r="D237" s="58" t="s">
        <v>805</v>
      </c>
      <c r="E237" s="58">
        <v>2778159</v>
      </c>
      <c r="F237" s="58">
        <v>86</v>
      </c>
      <c r="G237" s="58">
        <v>445810</v>
      </c>
      <c r="H237" s="69">
        <v>44862</v>
      </c>
      <c r="I237" s="88">
        <v>0.19</v>
      </c>
      <c r="J237" s="58">
        <v>369509.76</v>
      </c>
    </row>
    <row r="238" spans="1:10" ht="15">
      <c r="A238" s="58" t="s">
        <v>749</v>
      </c>
      <c r="B238" s="58" t="s">
        <v>792</v>
      </c>
      <c r="C238" s="58" t="s">
        <v>809</v>
      </c>
      <c r="D238" s="58" t="s">
        <v>806</v>
      </c>
      <c r="E238" s="58">
        <v>3861854</v>
      </c>
      <c r="F238" s="58">
        <v>35</v>
      </c>
      <c r="G238" s="58">
        <v>297943</v>
      </c>
      <c r="H238" s="69">
        <v>44717</v>
      </c>
      <c r="I238" s="88">
        <v>0.43</v>
      </c>
      <c r="J238" s="58">
        <v>3271492.8</v>
      </c>
    </row>
    <row r="239" spans="1:10" ht="15">
      <c r="A239" s="58" t="s">
        <v>743</v>
      </c>
      <c r="B239" s="58" t="s">
        <v>802</v>
      </c>
      <c r="C239" s="58" t="s">
        <v>807</v>
      </c>
      <c r="D239" s="58" t="s">
        <v>796</v>
      </c>
      <c r="E239" s="58">
        <v>1521665</v>
      </c>
      <c r="F239" s="58">
        <v>39</v>
      </c>
      <c r="G239" s="58">
        <v>166513</v>
      </c>
      <c r="H239" s="69">
        <v>45021</v>
      </c>
      <c r="I239" s="88">
        <v>0.3</v>
      </c>
      <c r="J239" s="58">
        <v>3663117.02</v>
      </c>
    </row>
    <row r="240" spans="1:10" ht="15">
      <c r="A240" s="58" t="s">
        <v>741</v>
      </c>
      <c r="B240" s="58" t="s">
        <v>787</v>
      </c>
      <c r="C240" s="58" t="s">
        <v>807</v>
      </c>
      <c r="D240" s="58" t="s">
        <v>803</v>
      </c>
      <c r="E240" s="58">
        <v>2940690</v>
      </c>
      <c r="F240" s="58">
        <v>2</v>
      </c>
      <c r="G240" s="58">
        <v>454321</v>
      </c>
      <c r="H240" s="69">
        <v>45331</v>
      </c>
      <c r="I240" s="88">
        <v>0.32</v>
      </c>
      <c r="J240" s="58">
        <v>1569765.78</v>
      </c>
    </row>
    <row r="241" spans="1:10" ht="15">
      <c r="A241" s="58" t="s">
        <v>744</v>
      </c>
      <c r="B241" s="58" t="s">
        <v>802</v>
      </c>
      <c r="C241" s="58" t="s">
        <v>799</v>
      </c>
      <c r="D241" s="58" t="s">
        <v>796</v>
      </c>
      <c r="E241" s="58">
        <v>1487846</v>
      </c>
      <c r="F241" s="58">
        <v>83</v>
      </c>
      <c r="G241" s="58">
        <v>134281</v>
      </c>
      <c r="H241" s="69">
        <v>44986</v>
      </c>
      <c r="I241" s="88">
        <v>0.3</v>
      </c>
      <c r="J241" s="58">
        <v>213210.72</v>
      </c>
    </row>
    <row r="242" spans="1:10" ht="15">
      <c r="A242" s="58" t="s">
        <v>749</v>
      </c>
      <c r="B242" s="58" t="s">
        <v>787</v>
      </c>
      <c r="C242" s="58" t="s">
        <v>799</v>
      </c>
      <c r="D242" s="58" t="s">
        <v>812</v>
      </c>
      <c r="E242" s="58">
        <v>2851741</v>
      </c>
      <c r="F242" s="58">
        <v>30</v>
      </c>
      <c r="G242" s="58">
        <v>95123</v>
      </c>
      <c r="H242" s="69">
        <v>45021</v>
      </c>
      <c r="I242" s="88">
        <v>0.37</v>
      </c>
      <c r="J242" s="58">
        <v>1736967.84</v>
      </c>
    </row>
    <row r="243" spans="1:10" ht="15">
      <c r="A243" s="58" t="s">
        <v>747</v>
      </c>
      <c r="B243" s="58" t="s">
        <v>797</v>
      </c>
      <c r="C243" s="58" t="s">
        <v>798</v>
      </c>
      <c r="D243" s="58" t="s">
        <v>791</v>
      </c>
      <c r="E243" s="58">
        <v>4203791</v>
      </c>
      <c r="F243" s="58">
        <v>35</v>
      </c>
      <c r="G243" s="58">
        <v>457457</v>
      </c>
      <c r="H243" s="69">
        <v>44784</v>
      </c>
      <c r="I243" s="88">
        <v>0.34</v>
      </c>
      <c r="J243" s="58">
        <v>4839702.12</v>
      </c>
    </row>
    <row r="244" spans="1:10" ht="15">
      <c r="A244" s="58" t="s">
        <v>744</v>
      </c>
      <c r="B244" s="58" t="s">
        <v>792</v>
      </c>
      <c r="C244" s="58" t="s">
        <v>798</v>
      </c>
      <c r="D244" s="58" t="s">
        <v>791</v>
      </c>
      <c r="E244" s="58">
        <v>54986</v>
      </c>
      <c r="F244" s="58">
        <v>66</v>
      </c>
      <c r="G244" s="58">
        <v>284447</v>
      </c>
      <c r="H244" s="69">
        <v>45020</v>
      </c>
      <c r="I244" s="88">
        <v>0.35</v>
      </c>
      <c r="J244" s="58">
        <v>1075175.3999999999</v>
      </c>
    </row>
    <row r="245" spans="1:10" ht="15">
      <c r="A245" s="58" t="s">
        <v>743</v>
      </c>
      <c r="B245" s="58" t="s">
        <v>808</v>
      </c>
      <c r="C245" s="58" t="s">
        <v>799</v>
      </c>
      <c r="D245" s="58" t="s">
        <v>789</v>
      </c>
      <c r="E245" s="58">
        <v>77361</v>
      </c>
      <c r="F245" s="58">
        <v>86</v>
      </c>
      <c r="G245" s="58">
        <v>418054</v>
      </c>
      <c r="H245" s="69">
        <v>44737</v>
      </c>
      <c r="I245" s="88">
        <v>0.49</v>
      </c>
      <c r="J245" s="58">
        <v>2529245.88</v>
      </c>
    </row>
    <row r="246" spans="1:10" ht="15">
      <c r="A246" s="58" t="s">
        <v>744</v>
      </c>
      <c r="B246" s="58" t="s">
        <v>804</v>
      </c>
      <c r="C246" s="58" t="s">
        <v>788</v>
      </c>
      <c r="D246" s="58" t="s">
        <v>812</v>
      </c>
      <c r="E246" s="58">
        <v>2547269</v>
      </c>
      <c r="F246" s="58">
        <v>21</v>
      </c>
      <c r="G246" s="58">
        <v>402349</v>
      </c>
      <c r="H246" s="69">
        <v>45269</v>
      </c>
      <c r="I246" s="88">
        <v>0.28000000000000003</v>
      </c>
      <c r="J246" s="58">
        <v>406192.16</v>
      </c>
    </row>
    <row r="247" spans="1:10" ht="15">
      <c r="A247" s="58" t="s">
        <v>741</v>
      </c>
      <c r="B247" s="58" t="s">
        <v>814</v>
      </c>
      <c r="C247" s="58" t="s">
        <v>798</v>
      </c>
      <c r="D247" s="58" t="s">
        <v>796</v>
      </c>
      <c r="E247" s="58">
        <v>2980550</v>
      </c>
      <c r="F247" s="58">
        <v>9</v>
      </c>
      <c r="G247" s="58">
        <v>160061</v>
      </c>
      <c r="H247" s="69">
        <v>45619</v>
      </c>
      <c r="I247" s="88">
        <v>0.47</v>
      </c>
      <c r="J247" s="58">
        <v>95482.17</v>
      </c>
    </row>
    <row r="248" spans="1:10" ht="15">
      <c r="A248" s="58" t="s">
        <v>743</v>
      </c>
      <c r="B248" s="58" t="s">
        <v>794</v>
      </c>
      <c r="C248" s="58" t="s">
        <v>809</v>
      </c>
      <c r="D248" s="58" t="s">
        <v>791</v>
      </c>
      <c r="E248" s="58">
        <v>2828765</v>
      </c>
      <c r="F248" s="58">
        <v>18</v>
      </c>
      <c r="G248" s="58">
        <v>207293</v>
      </c>
      <c r="H248" s="69">
        <v>45124</v>
      </c>
      <c r="I248" s="88">
        <v>0.42</v>
      </c>
      <c r="J248" s="58">
        <v>2926320.54</v>
      </c>
    </row>
    <row r="249" spans="1:10" ht="15">
      <c r="A249" s="58" t="s">
        <v>740</v>
      </c>
      <c r="B249" s="58" t="s">
        <v>808</v>
      </c>
      <c r="C249" s="58" t="s">
        <v>799</v>
      </c>
      <c r="D249" s="58" t="s">
        <v>791</v>
      </c>
      <c r="E249" s="58">
        <v>2010872</v>
      </c>
      <c r="F249" s="58">
        <v>12</v>
      </c>
      <c r="G249" s="58">
        <v>120532</v>
      </c>
      <c r="H249" s="69">
        <v>45378</v>
      </c>
      <c r="I249" s="88">
        <v>0.22</v>
      </c>
      <c r="J249" s="58">
        <v>1328824.6399999999</v>
      </c>
    </row>
    <row r="250" spans="1:10" ht="15">
      <c r="A250" s="58" t="s">
        <v>744</v>
      </c>
      <c r="B250" s="58" t="s">
        <v>787</v>
      </c>
      <c r="C250" s="58" t="s">
        <v>807</v>
      </c>
      <c r="D250" s="58" t="s">
        <v>789</v>
      </c>
      <c r="E250" s="58">
        <v>749120</v>
      </c>
      <c r="F250" s="58">
        <v>34</v>
      </c>
      <c r="G250" s="58">
        <v>147034</v>
      </c>
      <c r="H250" s="69">
        <v>44817</v>
      </c>
      <c r="I250" s="88">
        <v>0.32</v>
      </c>
      <c r="J250" s="58">
        <v>3155905.2</v>
      </c>
    </row>
    <row r="251" spans="1:10" ht="15">
      <c r="A251" s="58" t="s">
        <v>748</v>
      </c>
      <c r="B251" s="58" t="s">
        <v>804</v>
      </c>
      <c r="C251" s="58" t="s">
        <v>793</v>
      </c>
      <c r="D251" s="58" t="s">
        <v>813</v>
      </c>
      <c r="E251" s="58">
        <v>3070010</v>
      </c>
      <c r="F251" s="58">
        <v>68</v>
      </c>
      <c r="G251" s="58">
        <v>289488</v>
      </c>
      <c r="H251" s="69">
        <v>45406</v>
      </c>
      <c r="I251" s="88">
        <v>7.0000000000000007E-2</v>
      </c>
      <c r="J251" s="58">
        <v>333566.82</v>
      </c>
    </row>
    <row r="252" spans="1:10" ht="15">
      <c r="A252" s="58" t="s">
        <v>745</v>
      </c>
      <c r="B252" s="58" t="s">
        <v>804</v>
      </c>
      <c r="C252" s="58" t="s">
        <v>809</v>
      </c>
      <c r="D252" s="58" t="s">
        <v>801</v>
      </c>
      <c r="E252" s="58">
        <v>3250834</v>
      </c>
      <c r="F252" s="58">
        <v>92</v>
      </c>
      <c r="G252" s="58">
        <v>4420</v>
      </c>
      <c r="H252" s="69">
        <v>44707</v>
      </c>
      <c r="I252" s="88">
        <v>0.45</v>
      </c>
      <c r="J252" s="58">
        <v>1705527.51</v>
      </c>
    </row>
    <row r="253" spans="1:10" ht="15">
      <c r="A253" s="58" t="s">
        <v>746</v>
      </c>
      <c r="B253" s="58" t="s">
        <v>787</v>
      </c>
      <c r="C253" s="58" t="s">
        <v>809</v>
      </c>
      <c r="D253" s="58" t="s">
        <v>789</v>
      </c>
      <c r="E253" s="58">
        <v>4120807</v>
      </c>
      <c r="F253" s="58">
        <v>61</v>
      </c>
      <c r="G253" s="58">
        <v>121998</v>
      </c>
      <c r="H253" s="69">
        <v>44819</v>
      </c>
      <c r="I253" s="88">
        <v>7.0000000000000007E-2</v>
      </c>
      <c r="J253" s="58">
        <v>2305815.35</v>
      </c>
    </row>
    <row r="254" spans="1:10" ht="15">
      <c r="A254" s="58" t="s">
        <v>742</v>
      </c>
      <c r="B254" s="58" t="s">
        <v>804</v>
      </c>
      <c r="C254" s="58" t="s">
        <v>799</v>
      </c>
      <c r="D254" s="58" t="s">
        <v>811</v>
      </c>
      <c r="E254" s="58">
        <v>289940</v>
      </c>
      <c r="F254" s="58">
        <v>74</v>
      </c>
      <c r="G254" s="58">
        <v>423539</v>
      </c>
      <c r="H254" s="69">
        <v>45585</v>
      </c>
      <c r="I254" s="88">
        <v>0.18</v>
      </c>
      <c r="J254" s="58">
        <v>3668011.2</v>
      </c>
    </row>
    <row r="255" spans="1:10" ht="15">
      <c r="A255" s="58" t="s">
        <v>742</v>
      </c>
      <c r="B255" s="58" t="s">
        <v>808</v>
      </c>
      <c r="C255" s="58" t="s">
        <v>799</v>
      </c>
      <c r="D255" s="58" t="s">
        <v>811</v>
      </c>
      <c r="E255" s="58">
        <v>2532811</v>
      </c>
      <c r="F255" s="58">
        <v>36</v>
      </c>
      <c r="G255" s="58">
        <v>430072</v>
      </c>
      <c r="H255" s="69">
        <v>44906</v>
      </c>
      <c r="I255" s="88">
        <v>0.1</v>
      </c>
      <c r="J255" s="58">
        <v>888052.41</v>
      </c>
    </row>
    <row r="256" spans="1:10" ht="15">
      <c r="A256" s="58" t="s">
        <v>740</v>
      </c>
      <c r="B256" s="58" t="s">
        <v>802</v>
      </c>
      <c r="C256" s="58" t="s">
        <v>809</v>
      </c>
      <c r="D256" s="58" t="s">
        <v>810</v>
      </c>
      <c r="E256" s="58">
        <v>2861520</v>
      </c>
      <c r="F256" s="58">
        <v>32</v>
      </c>
      <c r="G256" s="58">
        <v>314353</v>
      </c>
      <c r="H256" s="69">
        <v>45027</v>
      </c>
      <c r="I256" s="88">
        <v>0.36</v>
      </c>
      <c r="J256" s="58">
        <v>4295789.04</v>
      </c>
    </row>
    <row r="257" spans="1:10" ht="15">
      <c r="A257" s="58" t="s">
        <v>742</v>
      </c>
      <c r="B257" s="58" t="s">
        <v>809</v>
      </c>
      <c r="C257" s="58" t="s">
        <v>809</v>
      </c>
      <c r="D257" s="58" t="s">
        <v>805</v>
      </c>
      <c r="E257" s="58">
        <v>2865648</v>
      </c>
      <c r="F257" s="58">
        <v>24</v>
      </c>
      <c r="G257" s="58">
        <v>176041</v>
      </c>
      <c r="H257" s="69">
        <v>44787</v>
      </c>
      <c r="I257" s="88">
        <v>0.18</v>
      </c>
      <c r="J257" s="58">
        <v>3086756.19</v>
      </c>
    </row>
    <row r="258" spans="1:10" ht="15">
      <c r="A258" s="58" t="s">
        <v>741</v>
      </c>
      <c r="B258" s="58" t="s">
        <v>808</v>
      </c>
      <c r="C258" s="58" t="s">
        <v>788</v>
      </c>
      <c r="D258" s="58" t="s">
        <v>800</v>
      </c>
      <c r="E258" s="58">
        <v>4375081</v>
      </c>
      <c r="F258" s="58">
        <v>43</v>
      </c>
      <c r="G258" s="58">
        <v>1416</v>
      </c>
      <c r="H258" s="69">
        <v>44764</v>
      </c>
      <c r="I258" s="88">
        <v>0.49</v>
      </c>
      <c r="J258" s="58">
        <v>2940991.29</v>
      </c>
    </row>
    <row r="259" spans="1:10" ht="15">
      <c r="A259" s="58" t="s">
        <v>742</v>
      </c>
      <c r="B259" s="58" t="s">
        <v>787</v>
      </c>
      <c r="C259" s="58" t="s">
        <v>798</v>
      </c>
      <c r="D259" s="58" t="s">
        <v>796</v>
      </c>
      <c r="E259" s="58">
        <v>3146380</v>
      </c>
      <c r="F259" s="58">
        <v>91</v>
      </c>
      <c r="G259" s="58">
        <v>203259</v>
      </c>
      <c r="H259" s="69">
        <v>45095</v>
      </c>
      <c r="I259" s="88">
        <v>0.24</v>
      </c>
      <c r="J259" s="58">
        <v>2308556.67</v>
      </c>
    </row>
    <row r="260" spans="1:10" ht="15">
      <c r="A260" s="58" t="s">
        <v>748</v>
      </c>
      <c r="B260" s="58" t="s">
        <v>809</v>
      </c>
      <c r="C260" s="58" t="s">
        <v>798</v>
      </c>
      <c r="D260" s="58" t="s">
        <v>813</v>
      </c>
      <c r="E260" s="58">
        <v>2177769</v>
      </c>
      <c r="F260" s="58">
        <v>78</v>
      </c>
      <c r="G260" s="58">
        <v>226686</v>
      </c>
      <c r="H260" s="69">
        <v>45060</v>
      </c>
      <c r="I260" s="88">
        <v>0.49</v>
      </c>
      <c r="J260" s="58">
        <v>900541.48</v>
      </c>
    </row>
    <row r="261" spans="1:10" ht="15">
      <c r="A261" s="58" t="s">
        <v>748</v>
      </c>
      <c r="B261" s="58" t="s">
        <v>794</v>
      </c>
      <c r="C261" s="58" t="s">
        <v>788</v>
      </c>
      <c r="D261" s="58" t="s">
        <v>805</v>
      </c>
      <c r="E261" s="58">
        <v>3645192</v>
      </c>
      <c r="F261" s="58">
        <v>94</v>
      </c>
      <c r="G261" s="58">
        <v>291961</v>
      </c>
      <c r="H261" s="69">
        <v>45248</v>
      </c>
      <c r="I261" s="88">
        <v>0.28999999999999998</v>
      </c>
      <c r="J261" s="58">
        <v>365390.64</v>
      </c>
    </row>
    <row r="262" spans="1:10" ht="15">
      <c r="A262" s="58" t="s">
        <v>746</v>
      </c>
      <c r="B262" s="58" t="s">
        <v>802</v>
      </c>
      <c r="C262" s="58" t="s">
        <v>788</v>
      </c>
      <c r="D262" s="58" t="s">
        <v>813</v>
      </c>
      <c r="E262" s="58">
        <v>509549</v>
      </c>
      <c r="F262" s="58">
        <v>52</v>
      </c>
      <c r="G262" s="58">
        <v>188933</v>
      </c>
      <c r="H262" s="69">
        <v>45371</v>
      </c>
      <c r="I262" s="88">
        <v>0.17</v>
      </c>
      <c r="J262" s="58">
        <v>2150200.5</v>
      </c>
    </row>
    <row r="263" spans="1:10" ht="15">
      <c r="A263" s="58" t="s">
        <v>743</v>
      </c>
      <c r="B263" s="58" t="s">
        <v>809</v>
      </c>
      <c r="C263" s="58" t="s">
        <v>788</v>
      </c>
      <c r="D263" s="58" t="s">
        <v>806</v>
      </c>
      <c r="E263" s="58">
        <v>4231683</v>
      </c>
      <c r="F263" s="58">
        <v>26</v>
      </c>
      <c r="G263" s="58">
        <v>463779</v>
      </c>
      <c r="H263" s="69">
        <v>44705</v>
      </c>
      <c r="I263" s="88">
        <v>0.09</v>
      </c>
      <c r="J263" s="58">
        <v>265549.44</v>
      </c>
    </row>
    <row r="264" spans="1:10" ht="15">
      <c r="A264" s="58" t="s">
        <v>749</v>
      </c>
      <c r="B264" s="58" t="s">
        <v>787</v>
      </c>
      <c r="C264" s="58" t="s">
        <v>788</v>
      </c>
      <c r="D264" s="58" t="s">
        <v>800</v>
      </c>
      <c r="E264" s="58">
        <v>4173099</v>
      </c>
      <c r="F264" s="58">
        <v>34</v>
      </c>
      <c r="G264" s="58">
        <v>98146</v>
      </c>
      <c r="H264" s="69">
        <v>45160</v>
      </c>
      <c r="I264" s="88">
        <v>0.15</v>
      </c>
      <c r="J264" s="58">
        <v>4437233.96</v>
      </c>
    </row>
    <row r="265" spans="1:10" ht="15">
      <c r="A265" s="58" t="s">
        <v>742</v>
      </c>
      <c r="B265" s="58" t="s">
        <v>808</v>
      </c>
      <c r="C265" s="58" t="s">
        <v>799</v>
      </c>
      <c r="D265" s="58" t="s">
        <v>810</v>
      </c>
      <c r="E265" s="58">
        <v>4666181</v>
      </c>
      <c r="F265" s="58">
        <v>29</v>
      </c>
      <c r="G265" s="58">
        <v>475565</v>
      </c>
      <c r="H265" s="69">
        <v>44646</v>
      </c>
      <c r="I265" s="88">
        <v>0.35</v>
      </c>
      <c r="J265" s="58">
        <v>2283454.9500000002</v>
      </c>
    </row>
    <row r="266" spans="1:10" ht="15">
      <c r="A266" s="58" t="s">
        <v>741</v>
      </c>
      <c r="B266" s="58" t="s">
        <v>794</v>
      </c>
      <c r="C266" s="58" t="s">
        <v>795</v>
      </c>
      <c r="D266" s="58" t="s">
        <v>791</v>
      </c>
      <c r="E266" s="58">
        <v>3123971</v>
      </c>
      <c r="F266" s="58">
        <v>67</v>
      </c>
      <c r="G266" s="58">
        <v>94121</v>
      </c>
      <c r="H266" s="69">
        <v>45602</v>
      </c>
      <c r="I266" s="88">
        <v>0.3</v>
      </c>
      <c r="J266" s="58">
        <v>2776439.55</v>
      </c>
    </row>
    <row r="267" spans="1:10" ht="15">
      <c r="A267" s="58" t="s">
        <v>747</v>
      </c>
      <c r="B267" s="58" t="s">
        <v>802</v>
      </c>
      <c r="C267" s="58" t="s">
        <v>798</v>
      </c>
      <c r="D267" s="58" t="s">
        <v>811</v>
      </c>
      <c r="E267" s="58">
        <v>610332</v>
      </c>
      <c r="F267" s="58">
        <v>48</v>
      </c>
      <c r="G267" s="58">
        <v>119230</v>
      </c>
      <c r="H267" s="69">
        <v>45078</v>
      </c>
      <c r="I267" s="88">
        <v>0.04</v>
      </c>
      <c r="J267" s="58">
        <v>2875043.56</v>
      </c>
    </row>
    <row r="268" spans="1:10" ht="15">
      <c r="A268" s="58" t="s">
        <v>744</v>
      </c>
      <c r="B268" s="58" t="s">
        <v>809</v>
      </c>
      <c r="C268" s="58" t="s">
        <v>799</v>
      </c>
      <c r="D268" s="58" t="s">
        <v>813</v>
      </c>
      <c r="E268" s="58">
        <v>289770</v>
      </c>
      <c r="F268" s="58">
        <v>43</v>
      </c>
      <c r="G268" s="58">
        <v>20701</v>
      </c>
      <c r="H268" s="69">
        <v>44564</v>
      </c>
      <c r="I268" s="88">
        <v>0.47</v>
      </c>
      <c r="J268" s="58">
        <v>2274948.52</v>
      </c>
    </row>
    <row r="269" spans="1:10" ht="15">
      <c r="A269" s="58" t="s">
        <v>743</v>
      </c>
      <c r="B269" s="58" t="s">
        <v>794</v>
      </c>
      <c r="C269" s="58" t="s">
        <v>809</v>
      </c>
      <c r="D269" s="58" t="s">
        <v>791</v>
      </c>
      <c r="E269" s="58">
        <v>468595</v>
      </c>
      <c r="F269" s="58">
        <v>6</v>
      </c>
      <c r="G269" s="58">
        <v>373529</v>
      </c>
      <c r="H269" s="69">
        <v>45357</v>
      </c>
      <c r="I269" s="88">
        <v>0.46</v>
      </c>
      <c r="J269" s="58">
        <v>1222708.3899999999</v>
      </c>
    </row>
    <row r="270" spans="1:10" ht="15">
      <c r="A270" s="58" t="s">
        <v>745</v>
      </c>
      <c r="B270" s="58" t="s">
        <v>804</v>
      </c>
      <c r="C270" s="58" t="s">
        <v>807</v>
      </c>
      <c r="D270" s="58" t="s">
        <v>801</v>
      </c>
      <c r="E270" s="58">
        <v>1844929</v>
      </c>
      <c r="F270" s="58">
        <v>1</v>
      </c>
      <c r="G270" s="58">
        <v>220252</v>
      </c>
      <c r="H270" s="69">
        <v>45496</v>
      </c>
      <c r="I270" s="88">
        <v>0.02</v>
      </c>
      <c r="J270" s="58">
        <v>865793.68</v>
      </c>
    </row>
    <row r="271" spans="1:10" ht="15">
      <c r="A271" s="58" t="s">
        <v>744</v>
      </c>
      <c r="B271" s="58" t="s">
        <v>814</v>
      </c>
      <c r="C271" s="58" t="s">
        <v>809</v>
      </c>
      <c r="D271" s="58" t="s">
        <v>803</v>
      </c>
      <c r="E271" s="58">
        <v>4494492</v>
      </c>
      <c r="F271" s="58">
        <v>24</v>
      </c>
      <c r="G271" s="58">
        <v>219299</v>
      </c>
      <c r="H271" s="69">
        <v>44874</v>
      </c>
      <c r="I271" s="88">
        <v>0.42</v>
      </c>
      <c r="J271" s="58">
        <v>1686567.12</v>
      </c>
    </row>
    <row r="272" spans="1:10" ht="15">
      <c r="A272" s="58" t="s">
        <v>747</v>
      </c>
      <c r="B272" s="58" t="s">
        <v>808</v>
      </c>
      <c r="C272" s="58" t="s">
        <v>809</v>
      </c>
      <c r="D272" s="58" t="s">
        <v>811</v>
      </c>
      <c r="E272" s="58">
        <v>4513946</v>
      </c>
      <c r="F272" s="58">
        <v>73</v>
      </c>
      <c r="G272" s="58">
        <v>172653</v>
      </c>
      <c r="H272" s="69">
        <v>44885</v>
      </c>
      <c r="I272" s="88">
        <v>0.22</v>
      </c>
      <c r="J272" s="58">
        <v>1698166.8</v>
      </c>
    </row>
    <row r="273" spans="1:10" ht="15">
      <c r="A273" s="58" t="s">
        <v>742</v>
      </c>
      <c r="B273" s="58" t="s">
        <v>794</v>
      </c>
      <c r="C273" s="58" t="s">
        <v>795</v>
      </c>
      <c r="D273" s="58" t="s">
        <v>813</v>
      </c>
      <c r="E273" s="58">
        <v>3946631</v>
      </c>
      <c r="F273" s="58">
        <v>88</v>
      </c>
      <c r="G273" s="58">
        <v>199564</v>
      </c>
      <c r="H273" s="69">
        <v>45455</v>
      </c>
      <c r="I273" s="88">
        <v>0.16</v>
      </c>
      <c r="J273" s="58">
        <v>2258356.14</v>
      </c>
    </row>
    <row r="274" spans="1:10" ht="15">
      <c r="A274" s="58" t="s">
        <v>747</v>
      </c>
      <c r="B274" s="58" t="s">
        <v>787</v>
      </c>
      <c r="C274" s="58" t="s">
        <v>798</v>
      </c>
      <c r="D274" s="58" t="s">
        <v>789</v>
      </c>
      <c r="E274" s="58">
        <v>2744092</v>
      </c>
      <c r="F274" s="58">
        <v>66</v>
      </c>
      <c r="G274" s="58">
        <v>119694</v>
      </c>
      <c r="H274" s="69">
        <v>45521</v>
      </c>
      <c r="I274" s="88">
        <v>0.08</v>
      </c>
      <c r="J274" s="58">
        <v>981595.44</v>
      </c>
    </row>
    <row r="275" spans="1:10" ht="15">
      <c r="A275" s="58" t="s">
        <v>748</v>
      </c>
      <c r="B275" s="58" t="s">
        <v>794</v>
      </c>
      <c r="C275" s="58" t="s">
        <v>798</v>
      </c>
      <c r="D275" s="58" t="s">
        <v>803</v>
      </c>
      <c r="E275" s="58">
        <v>3508281</v>
      </c>
      <c r="F275" s="58">
        <v>57</v>
      </c>
      <c r="G275" s="58">
        <v>393160</v>
      </c>
      <c r="H275" s="69">
        <v>44850</v>
      </c>
      <c r="I275" s="88">
        <v>0.28999999999999998</v>
      </c>
      <c r="J275" s="58">
        <v>1974462.42</v>
      </c>
    </row>
    <row r="276" spans="1:10" ht="15">
      <c r="A276" s="58" t="s">
        <v>743</v>
      </c>
      <c r="B276" s="58" t="s">
        <v>790</v>
      </c>
      <c r="C276" s="58" t="s">
        <v>795</v>
      </c>
      <c r="D276" s="58" t="s">
        <v>805</v>
      </c>
      <c r="E276" s="58">
        <v>380164</v>
      </c>
      <c r="F276" s="58">
        <v>65</v>
      </c>
      <c r="G276" s="58">
        <v>190716</v>
      </c>
      <c r="H276" s="69">
        <v>44679</v>
      </c>
      <c r="I276" s="88">
        <v>0.25</v>
      </c>
      <c r="J276" s="58">
        <v>3254309.41</v>
      </c>
    </row>
    <row r="277" spans="1:10" ht="15">
      <c r="A277" s="58" t="s">
        <v>743</v>
      </c>
      <c r="B277" s="58" t="s">
        <v>787</v>
      </c>
      <c r="C277" s="58" t="s">
        <v>799</v>
      </c>
      <c r="D277" s="58" t="s">
        <v>815</v>
      </c>
      <c r="E277" s="58">
        <v>3819331</v>
      </c>
      <c r="F277" s="58">
        <v>76</v>
      </c>
      <c r="G277" s="58">
        <v>85370</v>
      </c>
      <c r="H277" s="69">
        <v>45020</v>
      </c>
      <c r="I277" s="88">
        <v>0.21</v>
      </c>
      <c r="J277" s="58">
        <v>1822311.56</v>
      </c>
    </row>
    <row r="278" spans="1:10" ht="15">
      <c r="A278" s="58" t="s">
        <v>741</v>
      </c>
      <c r="B278" s="58" t="s">
        <v>797</v>
      </c>
      <c r="C278" s="58" t="s">
        <v>793</v>
      </c>
      <c r="D278" s="58" t="s">
        <v>805</v>
      </c>
      <c r="E278" s="58">
        <v>4251476</v>
      </c>
      <c r="F278" s="58">
        <v>20</v>
      </c>
      <c r="G278" s="58">
        <v>278053</v>
      </c>
      <c r="H278" s="69">
        <v>45418</v>
      </c>
      <c r="I278" s="88">
        <v>0.1</v>
      </c>
      <c r="J278" s="58">
        <v>296633.03999999998</v>
      </c>
    </row>
    <row r="279" spans="1:10" ht="15">
      <c r="A279" s="58" t="s">
        <v>742</v>
      </c>
      <c r="B279" s="58" t="s">
        <v>792</v>
      </c>
      <c r="C279" s="58" t="s">
        <v>788</v>
      </c>
      <c r="D279" s="58" t="s">
        <v>801</v>
      </c>
      <c r="E279" s="58">
        <v>3842792</v>
      </c>
      <c r="F279" s="58">
        <v>83</v>
      </c>
      <c r="G279" s="58">
        <v>225151</v>
      </c>
      <c r="H279" s="69">
        <v>45515</v>
      </c>
      <c r="I279" s="88">
        <v>0.09</v>
      </c>
      <c r="J279" s="58">
        <v>1310161.06</v>
      </c>
    </row>
    <row r="280" spans="1:10" ht="15">
      <c r="A280" s="58" t="s">
        <v>743</v>
      </c>
      <c r="B280" s="58" t="s">
        <v>794</v>
      </c>
      <c r="C280" s="58" t="s">
        <v>795</v>
      </c>
      <c r="D280" s="58" t="s">
        <v>791</v>
      </c>
      <c r="E280" s="58">
        <v>3975328</v>
      </c>
      <c r="F280" s="58">
        <v>6</v>
      </c>
      <c r="G280" s="58">
        <v>415444</v>
      </c>
      <c r="H280" s="69">
        <v>44679</v>
      </c>
      <c r="I280" s="88">
        <v>0.25</v>
      </c>
      <c r="J280" s="58">
        <v>2601636.75</v>
      </c>
    </row>
    <row r="281" spans="1:10" ht="15">
      <c r="A281" s="58" t="s">
        <v>746</v>
      </c>
      <c r="B281" s="58" t="s">
        <v>787</v>
      </c>
      <c r="C281" s="58" t="s">
        <v>799</v>
      </c>
      <c r="D281" s="58" t="s">
        <v>800</v>
      </c>
      <c r="E281" s="58">
        <v>34676</v>
      </c>
      <c r="F281" s="58">
        <v>49</v>
      </c>
      <c r="G281" s="58">
        <v>221769</v>
      </c>
      <c r="H281" s="69">
        <v>44796</v>
      </c>
      <c r="I281" s="88">
        <v>0.27</v>
      </c>
      <c r="J281" s="58">
        <v>1462434.65</v>
      </c>
    </row>
    <row r="282" spans="1:10" ht="15">
      <c r="A282" s="58" t="s">
        <v>744</v>
      </c>
      <c r="B282" s="58" t="s">
        <v>790</v>
      </c>
      <c r="C282" s="58" t="s">
        <v>793</v>
      </c>
      <c r="D282" s="58" t="s">
        <v>789</v>
      </c>
      <c r="E282" s="58">
        <v>3337017</v>
      </c>
      <c r="F282" s="58">
        <v>31</v>
      </c>
      <c r="G282" s="58">
        <v>55695</v>
      </c>
      <c r="H282" s="69">
        <v>45349</v>
      </c>
      <c r="I282" s="88">
        <v>0.06</v>
      </c>
      <c r="J282" s="58">
        <v>288819</v>
      </c>
    </row>
    <row r="283" spans="1:10" ht="15">
      <c r="A283" s="58" t="s">
        <v>748</v>
      </c>
      <c r="B283" s="58" t="s">
        <v>804</v>
      </c>
      <c r="C283" s="58" t="s">
        <v>793</v>
      </c>
      <c r="D283" s="58" t="s">
        <v>789</v>
      </c>
      <c r="E283" s="58">
        <v>837902</v>
      </c>
      <c r="F283" s="58">
        <v>75</v>
      </c>
      <c r="G283" s="58">
        <v>180616</v>
      </c>
      <c r="H283" s="69">
        <v>44787</v>
      </c>
      <c r="I283" s="88">
        <v>0.38</v>
      </c>
      <c r="J283" s="58">
        <v>2946354.32</v>
      </c>
    </row>
    <row r="284" spans="1:10" ht="15">
      <c r="A284" s="58" t="s">
        <v>740</v>
      </c>
      <c r="B284" s="58" t="s">
        <v>814</v>
      </c>
      <c r="C284" s="58" t="s">
        <v>798</v>
      </c>
      <c r="D284" s="58" t="s">
        <v>800</v>
      </c>
      <c r="E284" s="58">
        <v>566665</v>
      </c>
      <c r="F284" s="58">
        <v>66</v>
      </c>
      <c r="G284" s="58">
        <v>167424</v>
      </c>
      <c r="H284" s="69">
        <v>45561</v>
      </c>
      <c r="I284" s="88">
        <v>0.33</v>
      </c>
      <c r="J284" s="58">
        <v>3518380.15</v>
      </c>
    </row>
    <row r="285" spans="1:10" ht="15">
      <c r="A285" s="58" t="s">
        <v>742</v>
      </c>
      <c r="B285" s="58" t="s">
        <v>797</v>
      </c>
      <c r="C285" s="58" t="s">
        <v>793</v>
      </c>
      <c r="D285" s="58" t="s">
        <v>803</v>
      </c>
      <c r="E285" s="58">
        <v>3444030</v>
      </c>
      <c r="F285" s="58">
        <v>16</v>
      </c>
      <c r="G285" s="58">
        <v>57417</v>
      </c>
      <c r="H285" s="69">
        <v>44642</v>
      </c>
      <c r="I285" s="88">
        <v>0.19</v>
      </c>
      <c r="J285" s="58">
        <v>2509740.08</v>
      </c>
    </row>
    <row r="286" spans="1:10" ht="15">
      <c r="A286" s="58" t="s">
        <v>748</v>
      </c>
      <c r="B286" s="58" t="s">
        <v>804</v>
      </c>
      <c r="C286" s="58" t="s">
        <v>793</v>
      </c>
      <c r="D286" s="58" t="s">
        <v>813</v>
      </c>
      <c r="E286" s="58">
        <v>691754</v>
      </c>
      <c r="F286" s="58">
        <v>30</v>
      </c>
      <c r="G286" s="58">
        <v>195365</v>
      </c>
      <c r="H286" s="69">
        <v>45205</v>
      </c>
      <c r="I286" s="88">
        <v>0.32</v>
      </c>
      <c r="J286" s="58">
        <v>2181709.3199999998</v>
      </c>
    </row>
    <row r="287" spans="1:10" ht="15">
      <c r="A287" s="58" t="s">
        <v>742</v>
      </c>
      <c r="B287" s="58" t="s">
        <v>797</v>
      </c>
      <c r="C287" s="58" t="s">
        <v>793</v>
      </c>
      <c r="D287" s="58" t="s">
        <v>810</v>
      </c>
      <c r="E287" s="58">
        <v>4398805</v>
      </c>
      <c r="F287" s="58">
        <v>41</v>
      </c>
      <c r="G287" s="58">
        <v>345357</v>
      </c>
      <c r="H287" s="69">
        <v>45368</v>
      </c>
      <c r="I287" s="88">
        <v>0.41</v>
      </c>
      <c r="J287" s="58">
        <v>1859891.86</v>
      </c>
    </row>
    <row r="288" spans="1:10" ht="15">
      <c r="A288" s="58" t="s">
        <v>749</v>
      </c>
      <c r="B288" s="58" t="s">
        <v>790</v>
      </c>
      <c r="C288" s="58" t="s">
        <v>799</v>
      </c>
      <c r="D288" s="58" t="s">
        <v>815</v>
      </c>
      <c r="E288" s="58">
        <v>1039382</v>
      </c>
      <c r="F288" s="58">
        <v>39</v>
      </c>
      <c r="G288" s="58">
        <v>253767</v>
      </c>
      <c r="H288" s="69">
        <v>45037</v>
      </c>
      <c r="I288" s="88">
        <v>7.0000000000000007E-2</v>
      </c>
      <c r="J288" s="58">
        <v>1574354.66</v>
      </c>
    </row>
    <row r="289" spans="1:10" ht="15">
      <c r="A289" s="58" t="s">
        <v>745</v>
      </c>
      <c r="B289" s="58" t="s">
        <v>790</v>
      </c>
      <c r="C289" s="58" t="s">
        <v>799</v>
      </c>
      <c r="D289" s="58" t="s">
        <v>801</v>
      </c>
      <c r="E289" s="58">
        <v>1066889</v>
      </c>
      <c r="F289" s="58">
        <v>91</v>
      </c>
      <c r="G289" s="58">
        <v>444319</v>
      </c>
      <c r="H289" s="69">
        <v>45216</v>
      </c>
      <c r="I289" s="88">
        <v>0.24</v>
      </c>
      <c r="J289" s="58">
        <v>1818785.97</v>
      </c>
    </row>
    <row r="290" spans="1:10" ht="15">
      <c r="A290" s="58" t="s">
        <v>740</v>
      </c>
      <c r="B290" s="58" t="s">
        <v>787</v>
      </c>
      <c r="C290" s="58" t="s">
        <v>807</v>
      </c>
      <c r="D290" s="58" t="s">
        <v>791</v>
      </c>
      <c r="E290" s="58">
        <v>1461933</v>
      </c>
      <c r="F290" s="58">
        <v>14</v>
      </c>
      <c r="G290" s="58">
        <v>346800</v>
      </c>
      <c r="H290" s="69">
        <v>44585</v>
      </c>
      <c r="I290" s="88">
        <v>0.25</v>
      </c>
      <c r="J290" s="58">
        <v>338145.22</v>
      </c>
    </row>
    <row r="291" spans="1:10" ht="15">
      <c r="A291" s="58" t="s">
        <v>749</v>
      </c>
      <c r="B291" s="58" t="s">
        <v>809</v>
      </c>
      <c r="C291" s="58" t="s">
        <v>795</v>
      </c>
      <c r="D291" s="58" t="s">
        <v>813</v>
      </c>
      <c r="E291" s="58">
        <v>3688365</v>
      </c>
      <c r="F291" s="58">
        <v>19</v>
      </c>
      <c r="G291" s="58">
        <v>274549</v>
      </c>
      <c r="H291" s="69">
        <v>45026</v>
      </c>
      <c r="I291" s="88">
        <v>0.22</v>
      </c>
      <c r="J291" s="58">
        <v>2283783.36</v>
      </c>
    </row>
    <row r="292" spans="1:10" ht="15">
      <c r="A292" s="58" t="s">
        <v>744</v>
      </c>
      <c r="B292" s="58" t="s">
        <v>792</v>
      </c>
      <c r="C292" s="58" t="s">
        <v>809</v>
      </c>
      <c r="D292" s="58" t="s">
        <v>800</v>
      </c>
      <c r="E292" s="58">
        <v>3004584</v>
      </c>
      <c r="F292" s="58">
        <v>96</v>
      </c>
      <c r="G292" s="58">
        <v>75089</v>
      </c>
      <c r="H292" s="69">
        <v>45189</v>
      </c>
      <c r="I292" s="88">
        <v>0.5</v>
      </c>
      <c r="J292" s="58">
        <v>3332859.66</v>
      </c>
    </row>
    <row r="293" spans="1:10" ht="15">
      <c r="A293" s="58" t="s">
        <v>748</v>
      </c>
      <c r="B293" s="58" t="s">
        <v>804</v>
      </c>
      <c r="C293" s="58" t="s">
        <v>793</v>
      </c>
      <c r="D293" s="58" t="s">
        <v>791</v>
      </c>
      <c r="E293" s="58">
        <v>4165266</v>
      </c>
      <c r="F293" s="58">
        <v>71</v>
      </c>
      <c r="G293" s="58">
        <v>95098</v>
      </c>
      <c r="H293" s="69">
        <v>45471</v>
      </c>
      <c r="I293" s="88">
        <v>0.48</v>
      </c>
      <c r="J293" s="58">
        <v>1679644.08</v>
      </c>
    </row>
    <row r="294" spans="1:10" ht="15">
      <c r="A294" s="58" t="s">
        <v>742</v>
      </c>
      <c r="B294" s="58" t="s">
        <v>797</v>
      </c>
      <c r="C294" s="58" t="s">
        <v>788</v>
      </c>
      <c r="D294" s="58" t="s">
        <v>800</v>
      </c>
      <c r="E294" s="58">
        <v>4378213</v>
      </c>
      <c r="F294" s="58">
        <v>5</v>
      </c>
      <c r="G294" s="58">
        <v>71352</v>
      </c>
      <c r="H294" s="69">
        <v>45041</v>
      </c>
      <c r="I294" s="88">
        <v>0.43</v>
      </c>
      <c r="J294" s="58">
        <v>211259.3</v>
      </c>
    </row>
    <row r="295" spans="1:10" ht="15">
      <c r="A295" s="58" t="s">
        <v>740</v>
      </c>
      <c r="B295" s="58" t="s">
        <v>792</v>
      </c>
      <c r="C295" s="58" t="s">
        <v>809</v>
      </c>
      <c r="D295" s="58" t="s">
        <v>806</v>
      </c>
      <c r="E295" s="58">
        <v>4945471</v>
      </c>
      <c r="F295" s="58">
        <v>25</v>
      </c>
      <c r="G295" s="58">
        <v>72495</v>
      </c>
      <c r="H295" s="69">
        <v>45271</v>
      </c>
      <c r="I295" s="88">
        <v>0.5</v>
      </c>
      <c r="J295" s="58">
        <v>429303.84</v>
      </c>
    </row>
    <row r="296" spans="1:10" ht="15">
      <c r="A296" s="58" t="s">
        <v>742</v>
      </c>
      <c r="B296" s="58" t="s">
        <v>802</v>
      </c>
      <c r="C296" s="58" t="s">
        <v>807</v>
      </c>
      <c r="D296" s="58" t="s">
        <v>801</v>
      </c>
      <c r="E296" s="58">
        <v>4420627</v>
      </c>
      <c r="F296" s="58">
        <v>88</v>
      </c>
      <c r="G296" s="58">
        <v>192088</v>
      </c>
      <c r="H296" s="69">
        <v>44936</v>
      </c>
      <c r="I296" s="88">
        <v>0.43</v>
      </c>
      <c r="J296" s="58">
        <v>207226.8</v>
      </c>
    </row>
    <row r="297" spans="1:10" ht="15">
      <c r="A297" s="58" t="s">
        <v>748</v>
      </c>
      <c r="B297" s="58" t="s">
        <v>804</v>
      </c>
      <c r="C297" s="58" t="s">
        <v>798</v>
      </c>
      <c r="D297" s="58" t="s">
        <v>812</v>
      </c>
      <c r="E297" s="58">
        <v>1369742</v>
      </c>
      <c r="F297" s="58">
        <v>68</v>
      </c>
      <c r="G297" s="58">
        <v>392062</v>
      </c>
      <c r="H297" s="69">
        <v>45648</v>
      </c>
      <c r="I297" s="88">
        <v>0.28000000000000003</v>
      </c>
      <c r="J297" s="58">
        <v>374074.15</v>
      </c>
    </row>
    <row r="298" spans="1:10" ht="15">
      <c r="A298" s="58" t="s">
        <v>748</v>
      </c>
      <c r="B298" s="58" t="s">
        <v>792</v>
      </c>
      <c r="C298" s="58" t="s">
        <v>793</v>
      </c>
      <c r="D298" s="58" t="s">
        <v>791</v>
      </c>
      <c r="E298" s="58">
        <v>2549112</v>
      </c>
      <c r="F298" s="58">
        <v>62</v>
      </c>
      <c r="G298" s="58">
        <v>258622</v>
      </c>
      <c r="H298" s="69">
        <v>45091</v>
      </c>
      <c r="I298" s="88">
        <v>0.46</v>
      </c>
      <c r="J298" s="58">
        <v>1834888.25</v>
      </c>
    </row>
    <row r="299" spans="1:10" ht="15">
      <c r="A299" s="58" t="s">
        <v>748</v>
      </c>
      <c r="B299" s="58" t="s">
        <v>790</v>
      </c>
      <c r="C299" s="58" t="s">
        <v>798</v>
      </c>
      <c r="D299" s="58" t="s">
        <v>803</v>
      </c>
      <c r="E299" s="58">
        <v>3055534</v>
      </c>
      <c r="F299" s="58">
        <v>76</v>
      </c>
      <c r="G299" s="58">
        <v>388398</v>
      </c>
      <c r="H299" s="69">
        <v>44672</v>
      </c>
      <c r="I299" s="88">
        <v>0.37</v>
      </c>
      <c r="J299" s="58">
        <v>2436389.7599999998</v>
      </c>
    </row>
    <row r="300" spans="1:10" ht="15">
      <c r="A300" s="58" t="s">
        <v>743</v>
      </c>
      <c r="B300" s="58" t="s">
        <v>804</v>
      </c>
      <c r="C300" s="58" t="s">
        <v>795</v>
      </c>
      <c r="D300" s="58" t="s">
        <v>815</v>
      </c>
      <c r="E300" s="58">
        <v>4773871</v>
      </c>
      <c r="F300" s="58">
        <v>47</v>
      </c>
      <c r="G300" s="58">
        <v>365153</v>
      </c>
      <c r="H300" s="69">
        <v>44585</v>
      </c>
      <c r="I300" s="88">
        <v>0.34</v>
      </c>
      <c r="J300" s="58">
        <v>2039578.58</v>
      </c>
    </row>
    <row r="301" spans="1:10" ht="15">
      <c r="A301" s="58" t="s">
        <v>746</v>
      </c>
      <c r="B301" s="58" t="s">
        <v>792</v>
      </c>
      <c r="C301" s="58" t="s">
        <v>799</v>
      </c>
      <c r="D301" s="58" t="s">
        <v>789</v>
      </c>
      <c r="E301" s="58">
        <v>3186929</v>
      </c>
      <c r="F301" s="58">
        <v>19</v>
      </c>
      <c r="G301" s="58">
        <v>440356</v>
      </c>
      <c r="H301" s="69">
        <v>45024</v>
      </c>
      <c r="I301" s="88">
        <v>0.04</v>
      </c>
      <c r="J301" s="58">
        <v>872425.08</v>
      </c>
    </row>
    <row r="302" spans="1:10" ht="15">
      <c r="A302" s="58" t="s">
        <v>748</v>
      </c>
      <c r="B302" s="58" t="s">
        <v>809</v>
      </c>
      <c r="C302" s="58" t="s">
        <v>793</v>
      </c>
      <c r="D302" s="58" t="s">
        <v>789</v>
      </c>
      <c r="E302" s="58">
        <v>257827</v>
      </c>
      <c r="F302" s="58">
        <v>80</v>
      </c>
      <c r="G302" s="58">
        <v>239525</v>
      </c>
      <c r="H302" s="69">
        <v>44635</v>
      </c>
      <c r="I302" s="88">
        <v>0.04</v>
      </c>
      <c r="J302" s="58">
        <v>1374715.71</v>
      </c>
    </row>
    <row r="303" spans="1:10" ht="15">
      <c r="A303" s="58" t="s">
        <v>740</v>
      </c>
      <c r="B303" s="58" t="s">
        <v>790</v>
      </c>
      <c r="C303" s="58" t="s">
        <v>798</v>
      </c>
      <c r="D303" s="58" t="s">
        <v>801</v>
      </c>
      <c r="E303" s="58">
        <v>2453641</v>
      </c>
      <c r="F303" s="58">
        <v>45</v>
      </c>
      <c r="G303" s="58">
        <v>372927</v>
      </c>
      <c r="H303" s="69">
        <v>45606</v>
      </c>
      <c r="I303" s="88">
        <v>0.39</v>
      </c>
      <c r="J303" s="58">
        <v>775139.64</v>
      </c>
    </row>
    <row r="304" spans="1:10" ht="15">
      <c r="A304" s="58" t="s">
        <v>743</v>
      </c>
      <c r="B304" s="58" t="s">
        <v>792</v>
      </c>
      <c r="C304" s="58" t="s">
        <v>807</v>
      </c>
      <c r="D304" s="58" t="s">
        <v>791</v>
      </c>
      <c r="E304" s="58">
        <v>2009195</v>
      </c>
      <c r="F304" s="58">
        <v>37</v>
      </c>
      <c r="G304" s="58">
        <v>121609</v>
      </c>
      <c r="H304" s="69">
        <v>45328</v>
      </c>
      <c r="I304" s="88">
        <v>0.28000000000000003</v>
      </c>
      <c r="J304" s="58">
        <v>3486492.81</v>
      </c>
    </row>
    <row r="305" spans="1:10" ht="15">
      <c r="A305" s="58" t="s">
        <v>746</v>
      </c>
      <c r="B305" s="58" t="s">
        <v>787</v>
      </c>
      <c r="C305" s="58" t="s">
        <v>798</v>
      </c>
      <c r="D305" s="58" t="s">
        <v>815</v>
      </c>
      <c r="E305" s="58">
        <v>1128214</v>
      </c>
      <c r="F305" s="58">
        <v>38</v>
      </c>
      <c r="G305" s="58">
        <v>449345</v>
      </c>
      <c r="H305" s="69">
        <v>44992</v>
      </c>
      <c r="I305" s="88">
        <v>0.48</v>
      </c>
      <c r="J305" s="58">
        <v>1863092</v>
      </c>
    </row>
    <row r="306" spans="1:10" ht="15">
      <c r="A306" s="58" t="s">
        <v>742</v>
      </c>
      <c r="B306" s="58" t="s">
        <v>797</v>
      </c>
      <c r="C306" s="58" t="s">
        <v>809</v>
      </c>
      <c r="D306" s="58" t="s">
        <v>800</v>
      </c>
      <c r="E306" s="58">
        <v>4667106</v>
      </c>
      <c r="F306" s="58">
        <v>9</v>
      </c>
      <c r="G306" s="58">
        <v>305234</v>
      </c>
      <c r="H306" s="69">
        <v>45647</v>
      </c>
      <c r="I306" s="88">
        <v>0.34</v>
      </c>
      <c r="J306" s="58">
        <v>3085730.52</v>
      </c>
    </row>
    <row r="307" spans="1:10" ht="15">
      <c r="A307" s="58" t="s">
        <v>740</v>
      </c>
      <c r="B307" s="58" t="s">
        <v>808</v>
      </c>
      <c r="C307" s="58" t="s">
        <v>799</v>
      </c>
      <c r="D307" s="58" t="s">
        <v>815</v>
      </c>
      <c r="E307" s="58">
        <v>3423584</v>
      </c>
      <c r="F307" s="58">
        <v>25</v>
      </c>
      <c r="G307" s="58">
        <v>259924</v>
      </c>
      <c r="H307" s="69">
        <v>44880</v>
      </c>
      <c r="I307" s="88">
        <v>0.39</v>
      </c>
      <c r="J307" s="58">
        <v>1721116.22</v>
      </c>
    </row>
    <row r="308" spans="1:10" ht="15">
      <c r="A308" s="58" t="s">
        <v>740</v>
      </c>
      <c r="B308" s="58" t="s">
        <v>809</v>
      </c>
      <c r="C308" s="58" t="s">
        <v>809</v>
      </c>
      <c r="D308" s="58" t="s">
        <v>800</v>
      </c>
      <c r="E308" s="58">
        <v>304106</v>
      </c>
      <c r="F308" s="58">
        <v>94</v>
      </c>
      <c r="G308" s="58">
        <v>466488</v>
      </c>
      <c r="H308" s="69">
        <v>44588</v>
      </c>
      <c r="I308" s="88">
        <v>0.16</v>
      </c>
      <c r="J308" s="58">
        <v>2934376.38</v>
      </c>
    </row>
    <row r="309" spans="1:10" ht="15">
      <c r="A309" s="58" t="s">
        <v>748</v>
      </c>
      <c r="B309" s="58" t="s">
        <v>797</v>
      </c>
      <c r="C309" s="58" t="s">
        <v>795</v>
      </c>
      <c r="D309" s="58" t="s">
        <v>791</v>
      </c>
      <c r="E309" s="58">
        <v>3660898</v>
      </c>
      <c r="F309" s="58">
        <v>4</v>
      </c>
      <c r="G309" s="58">
        <v>153453</v>
      </c>
      <c r="H309" s="69">
        <v>44822</v>
      </c>
      <c r="I309" s="88">
        <v>0.25</v>
      </c>
      <c r="J309" s="58">
        <v>4189198.65</v>
      </c>
    </row>
    <row r="310" spans="1:10" ht="15">
      <c r="A310" s="58" t="s">
        <v>741</v>
      </c>
      <c r="B310" s="58" t="s">
        <v>814</v>
      </c>
      <c r="C310" s="58" t="s">
        <v>793</v>
      </c>
      <c r="D310" s="58" t="s">
        <v>813</v>
      </c>
      <c r="E310" s="58">
        <v>489847</v>
      </c>
      <c r="F310" s="58">
        <v>30</v>
      </c>
      <c r="G310" s="58">
        <v>24747</v>
      </c>
      <c r="H310" s="69">
        <v>44958</v>
      </c>
      <c r="I310" s="88">
        <v>0.47</v>
      </c>
      <c r="J310" s="58">
        <v>2249499.87</v>
      </c>
    </row>
    <row r="311" spans="1:10" ht="15">
      <c r="A311" s="58" t="s">
        <v>746</v>
      </c>
      <c r="B311" s="58" t="s">
        <v>814</v>
      </c>
      <c r="C311" s="58" t="s">
        <v>795</v>
      </c>
      <c r="D311" s="58" t="s">
        <v>796</v>
      </c>
      <c r="E311" s="58">
        <v>3244283</v>
      </c>
      <c r="F311" s="58">
        <v>28</v>
      </c>
      <c r="G311" s="58">
        <v>295129</v>
      </c>
      <c r="H311" s="69">
        <v>44582</v>
      </c>
      <c r="I311" s="88">
        <v>0.03</v>
      </c>
      <c r="J311" s="58">
        <v>1485504</v>
      </c>
    </row>
    <row r="312" spans="1:10" ht="15">
      <c r="A312" s="58" t="s">
        <v>745</v>
      </c>
      <c r="B312" s="58" t="s">
        <v>794</v>
      </c>
      <c r="C312" s="58" t="s">
        <v>809</v>
      </c>
      <c r="D312" s="58" t="s">
        <v>801</v>
      </c>
      <c r="E312" s="58">
        <v>746722</v>
      </c>
      <c r="F312" s="58">
        <v>48</v>
      </c>
      <c r="G312" s="58">
        <v>434737</v>
      </c>
      <c r="H312" s="69">
        <v>44931</v>
      </c>
      <c r="I312" s="88">
        <v>0.23</v>
      </c>
      <c r="J312" s="58">
        <v>34521.300000000003</v>
      </c>
    </row>
    <row r="313" spans="1:10" ht="15">
      <c r="A313" s="58" t="s">
        <v>740</v>
      </c>
      <c r="B313" s="58" t="s">
        <v>804</v>
      </c>
      <c r="C313" s="58" t="s">
        <v>795</v>
      </c>
      <c r="D313" s="58" t="s">
        <v>815</v>
      </c>
      <c r="E313" s="58">
        <v>2736233</v>
      </c>
      <c r="F313" s="58">
        <v>96</v>
      </c>
      <c r="G313" s="58">
        <v>489456</v>
      </c>
      <c r="H313" s="69">
        <v>45217</v>
      </c>
      <c r="I313" s="88">
        <v>0.41</v>
      </c>
      <c r="J313" s="58">
        <v>2313157.64</v>
      </c>
    </row>
    <row r="314" spans="1:10" ht="15">
      <c r="A314" s="58" t="s">
        <v>744</v>
      </c>
      <c r="B314" s="58" t="s">
        <v>809</v>
      </c>
      <c r="C314" s="58" t="s">
        <v>795</v>
      </c>
      <c r="D314" s="58" t="s">
        <v>815</v>
      </c>
      <c r="E314" s="58">
        <v>4598544</v>
      </c>
      <c r="F314" s="58">
        <v>35</v>
      </c>
      <c r="G314" s="58">
        <v>77841</v>
      </c>
      <c r="H314" s="69">
        <v>45632</v>
      </c>
      <c r="I314" s="88">
        <v>0.44</v>
      </c>
      <c r="J314" s="58">
        <v>158998.28</v>
      </c>
    </row>
    <row r="315" spans="1:10" ht="15">
      <c r="A315" s="58" t="s">
        <v>746</v>
      </c>
      <c r="B315" s="58" t="s">
        <v>802</v>
      </c>
      <c r="C315" s="58" t="s">
        <v>807</v>
      </c>
      <c r="D315" s="58" t="s">
        <v>805</v>
      </c>
      <c r="E315" s="58">
        <v>759785</v>
      </c>
      <c r="F315" s="58">
        <v>90</v>
      </c>
      <c r="G315" s="58">
        <v>498857</v>
      </c>
      <c r="H315" s="69">
        <v>44775</v>
      </c>
      <c r="I315" s="88">
        <v>0.38</v>
      </c>
      <c r="J315" s="58">
        <v>1169361.9199999999</v>
      </c>
    </row>
    <row r="316" spans="1:10" ht="15">
      <c r="A316" s="58" t="s">
        <v>747</v>
      </c>
      <c r="B316" s="58" t="s">
        <v>802</v>
      </c>
      <c r="C316" s="58" t="s">
        <v>788</v>
      </c>
      <c r="D316" s="58" t="s">
        <v>800</v>
      </c>
      <c r="E316" s="58">
        <v>3274706</v>
      </c>
      <c r="F316" s="58">
        <v>84</v>
      </c>
      <c r="G316" s="58">
        <v>20611</v>
      </c>
      <c r="H316" s="69">
        <v>44909</v>
      </c>
      <c r="I316" s="88">
        <v>0.47</v>
      </c>
      <c r="J316" s="58">
        <v>379232.28</v>
      </c>
    </row>
    <row r="317" spans="1:10" ht="15">
      <c r="A317" s="58" t="s">
        <v>748</v>
      </c>
      <c r="B317" s="58" t="s">
        <v>792</v>
      </c>
      <c r="C317" s="58" t="s">
        <v>798</v>
      </c>
      <c r="D317" s="58" t="s">
        <v>813</v>
      </c>
      <c r="E317" s="58">
        <v>1870899</v>
      </c>
      <c r="F317" s="58">
        <v>54</v>
      </c>
      <c r="G317" s="58">
        <v>297057</v>
      </c>
      <c r="H317" s="69">
        <v>45425</v>
      </c>
      <c r="I317" s="88">
        <v>0.01</v>
      </c>
      <c r="J317" s="58">
        <v>877210.72</v>
      </c>
    </row>
    <row r="318" spans="1:10" ht="15">
      <c r="A318" s="58" t="s">
        <v>748</v>
      </c>
      <c r="B318" s="58" t="s">
        <v>787</v>
      </c>
      <c r="C318" s="58" t="s">
        <v>793</v>
      </c>
      <c r="D318" s="58" t="s">
        <v>812</v>
      </c>
      <c r="E318" s="58">
        <v>537485</v>
      </c>
      <c r="F318" s="58">
        <v>21</v>
      </c>
      <c r="G318" s="58">
        <v>224636</v>
      </c>
      <c r="H318" s="69">
        <v>44879</v>
      </c>
      <c r="I318" s="88">
        <v>0.35</v>
      </c>
      <c r="J318" s="58">
        <v>3253062.75</v>
      </c>
    </row>
    <row r="319" spans="1:10" ht="15">
      <c r="A319" s="58" t="s">
        <v>745</v>
      </c>
      <c r="B319" s="58" t="s">
        <v>808</v>
      </c>
      <c r="C319" s="58" t="s">
        <v>795</v>
      </c>
      <c r="D319" s="58" t="s">
        <v>805</v>
      </c>
      <c r="E319" s="58">
        <v>385469</v>
      </c>
      <c r="F319" s="58">
        <v>7</v>
      </c>
      <c r="G319" s="58">
        <v>322664</v>
      </c>
      <c r="H319" s="69">
        <v>44671</v>
      </c>
      <c r="I319" s="88">
        <v>0.14000000000000001</v>
      </c>
      <c r="J319" s="58">
        <v>2033938.24</v>
      </c>
    </row>
    <row r="320" spans="1:10" ht="15">
      <c r="A320" s="58" t="s">
        <v>745</v>
      </c>
      <c r="B320" s="58" t="s">
        <v>802</v>
      </c>
      <c r="C320" s="58" t="s">
        <v>798</v>
      </c>
      <c r="D320" s="58" t="s">
        <v>806</v>
      </c>
      <c r="E320" s="58">
        <v>2657080</v>
      </c>
      <c r="F320" s="58">
        <v>50</v>
      </c>
      <c r="G320" s="58">
        <v>77636</v>
      </c>
      <c r="H320" s="69">
        <v>44936</v>
      </c>
      <c r="I320" s="88">
        <v>0.23</v>
      </c>
      <c r="J320" s="58">
        <v>845321.76</v>
      </c>
    </row>
    <row r="321" spans="1:10" ht="15">
      <c r="A321" s="58" t="s">
        <v>741</v>
      </c>
      <c r="B321" s="58" t="s">
        <v>802</v>
      </c>
      <c r="C321" s="58" t="s">
        <v>793</v>
      </c>
      <c r="D321" s="58" t="s">
        <v>801</v>
      </c>
      <c r="E321" s="58">
        <v>3348089</v>
      </c>
      <c r="F321" s="58">
        <v>98</v>
      </c>
      <c r="G321" s="58">
        <v>319338</v>
      </c>
      <c r="H321" s="69">
        <v>45142</v>
      </c>
      <c r="I321" s="88">
        <v>0.08</v>
      </c>
      <c r="J321" s="58">
        <v>2036934.9</v>
      </c>
    </row>
    <row r="322" spans="1:10" ht="15">
      <c r="A322" s="58" t="s">
        <v>744</v>
      </c>
      <c r="B322" s="58" t="s">
        <v>794</v>
      </c>
      <c r="C322" s="58" t="s">
        <v>793</v>
      </c>
      <c r="D322" s="58" t="s">
        <v>806</v>
      </c>
      <c r="E322" s="58">
        <v>2138156</v>
      </c>
      <c r="F322" s="58">
        <v>74</v>
      </c>
      <c r="G322" s="58">
        <v>346644</v>
      </c>
      <c r="H322" s="69">
        <v>45638</v>
      </c>
      <c r="I322" s="88">
        <v>0.17</v>
      </c>
      <c r="J322" s="58">
        <v>989165.26</v>
      </c>
    </row>
    <row r="323" spans="1:10" ht="15">
      <c r="A323" s="58" t="s">
        <v>740</v>
      </c>
      <c r="B323" s="58" t="s">
        <v>797</v>
      </c>
      <c r="C323" s="58" t="s">
        <v>799</v>
      </c>
      <c r="D323" s="58" t="s">
        <v>815</v>
      </c>
      <c r="E323" s="58">
        <v>1485190</v>
      </c>
      <c r="F323" s="58">
        <v>70</v>
      </c>
      <c r="G323" s="58">
        <v>387119</v>
      </c>
      <c r="H323" s="69">
        <v>45590</v>
      </c>
      <c r="I323" s="88">
        <v>0.27</v>
      </c>
      <c r="J323" s="58">
        <v>4228869.5999999996</v>
      </c>
    </row>
    <row r="324" spans="1:10" ht="15">
      <c r="A324" s="58" t="s">
        <v>746</v>
      </c>
      <c r="B324" s="58" t="s">
        <v>804</v>
      </c>
      <c r="C324" s="58" t="s">
        <v>799</v>
      </c>
      <c r="D324" s="58" t="s">
        <v>813</v>
      </c>
      <c r="E324" s="58">
        <v>4121273</v>
      </c>
      <c r="F324" s="58">
        <v>27</v>
      </c>
      <c r="G324" s="58">
        <v>226586</v>
      </c>
      <c r="H324" s="69">
        <v>44912</v>
      </c>
      <c r="I324" s="88">
        <v>0.39</v>
      </c>
      <c r="J324" s="58">
        <v>2873149.06</v>
      </c>
    </row>
    <row r="325" spans="1:10" ht="15">
      <c r="A325" s="58" t="s">
        <v>746</v>
      </c>
      <c r="B325" s="58" t="s">
        <v>804</v>
      </c>
      <c r="C325" s="58" t="s">
        <v>809</v>
      </c>
      <c r="D325" s="58" t="s">
        <v>789</v>
      </c>
      <c r="E325" s="58">
        <v>2363541</v>
      </c>
      <c r="F325" s="58">
        <v>39</v>
      </c>
      <c r="G325" s="58">
        <v>496710</v>
      </c>
      <c r="H325" s="69">
        <v>45354</v>
      </c>
      <c r="I325" s="88">
        <v>0.26</v>
      </c>
      <c r="J325" s="58">
        <v>2431150.5</v>
      </c>
    </row>
    <row r="326" spans="1:10" ht="15">
      <c r="A326" s="58" t="s">
        <v>747</v>
      </c>
      <c r="B326" s="58" t="s">
        <v>792</v>
      </c>
      <c r="C326" s="58" t="s">
        <v>788</v>
      </c>
      <c r="D326" s="58" t="s">
        <v>812</v>
      </c>
      <c r="E326" s="58">
        <v>231321</v>
      </c>
      <c r="F326" s="58">
        <v>73</v>
      </c>
      <c r="G326" s="58">
        <v>464442</v>
      </c>
      <c r="H326" s="69">
        <v>44572</v>
      </c>
      <c r="I326" s="88">
        <v>0.27</v>
      </c>
      <c r="J326" s="58">
        <v>880963.02</v>
      </c>
    </row>
    <row r="327" spans="1:10" ht="15">
      <c r="A327" s="58" t="s">
        <v>740</v>
      </c>
      <c r="B327" s="58" t="s">
        <v>794</v>
      </c>
      <c r="C327" s="58" t="s">
        <v>807</v>
      </c>
      <c r="D327" s="58" t="s">
        <v>796</v>
      </c>
      <c r="E327" s="58">
        <v>2199554</v>
      </c>
      <c r="F327" s="58">
        <v>10</v>
      </c>
      <c r="G327" s="58">
        <v>162079</v>
      </c>
      <c r="H327" s="69">
        <v>45146</v>
      </c>
      <c r="I327" s="88">
        <v>0.16</v>
      </c>
      <c r="J327" s="58">
        <v>1883764.79</v>
      </c>
    </row>
    <row r="328" spans="1:10" ht="15">
      <c r="A328" s="58" t="s">
        <v>741</v>
      </c>
      <c r="B328" s="58" t="s">
        <v>809</v>
      </c>
      <c r="C328" s="58" t="s">
        <v>795</v>
      </c>
      <c r="D328" s="58" t="s">
        <v>810</v>
      </c>
      <c r="E328" s="58">
        <v>2223088</v>
      </c>
      <c r="F328" s="58">
        <v>83</v>
      </c>
      <c r="G328" s="58">
        <v>75788</v>
      </c>
      <c r="H328" s="69">
        <v>45135</v>
      </c>
      <c r="I328" s="88">
        <v>0.01</v>
      </c>
      <c r="J328" s="58">
        <v>4253729.3600000003</v>
      </c>
    </row>
    <row r="329" spans="1:10" ht="15">
      <c r="A329" s="58" t="s">
        <v>743</v>
      </c>
      <c r="B329" s="58" t="s">
        <v>804</v>
      </c>
      <c r="C329" s="58" t="s">
        <v>788</v>
      </c>
      <c r="D329" s="58" t="s">
        <v>800</v>
      </c>
      <c r="E329" s="58">
        <v>2816974</v>
      </c>
      <c r="F329" s="58">
        <v>79</v>
      </c>
      <c r="G329" s="58">
        <v>311875</v>
      </c>
      <c r="H329" s="69">
        <v>45261</v>
      </c>
      <c r="I329" s="88">
        <v>0.04</v>
      </c>
      <c r="J329" s="58">
        <v>3392297.05</v>
      </c>
    </row>
    <row r="330" spans="1:10" ht="15">
      <c r="A330" s="58" t="s">
        <v>745</v>
      </c>
      <c r="B330" s="58" t="s">
        <v>809</v>
      </c>
      <c r="C330" s="58" t="s">
        <v>807</v>
      </c>
      <c r="D330" s="58" t="s">
        <v>791</v>
      </c>
      <c r="E330" s="58">
        <v>3690464</v>
      </c>
      <c r="F330" s="58">
        <v>9</v>
      </c>
      <c r="G330" s="58">
        <v>426880</v>
      </c>
      <c r="H330" s="69">
        <v>44566</v>
      </c>
      <c r="I330" s="88">
        <v>0.13</v>
      </c>
      <c r="J330" s="58">
        <v>1002377.22</v>
      </c>
    </row>
    <row r="331" spans="1:10" ht="15">
      <c r="A331" s="58" t="s">
        <v>744</v>
      </c>
      <c r="B331" s="58" t="s">
        <v>808</v>
      </c>
      <c r="C331" s="58" t="s">
        <v>795</v>
      </c>
      <c r="D331" s="58" t="s">
        <v>801</v>
      </c>
      <c r="E331" s="58">
        <v>3263366</v>
      </c>
      <c r="F331" s="58">
        <v>55</v>
      </c>
      <c r="G331" s="58">
        <v>149724</v>
      </c>
      <c r="H331" s="69">
        <v>44693</v>
      </c>
      <c r="I331" s="88">
        <v>0.46</v>
      </c>
      <c r="J331" s="58">
        <v>3857363.51</v>
      </c>
    </row>
    <row r="332" spans="1:10" ht="15">
      <c r="A332" s="58" t="s">
        <v>740</v>
      </c>
      <c r="B332" s="58" t="s">
        <v>804</v>
      </c>
      <c r="C332" s="58" t="s">
        <v>788</v>
      </c>
      <c r="D332" s="58" t="s">
        <v>801</v>
      </c>
      <c r="E332" s="58">
        <v>4208721</v>
      </c>
      <c r="F332" s="58">
        <v>55</v>
      </c>
      <c r="G332" s="58">
        <v>356726</v>
      </c>
      <c r="H332" s="69">
        <v>45513</v>
      </c>
      <c r="I332" s="88">
        <v>0.16</v>
      </c>
      <c r="J332" s="58">
        <v>2744712.2</v>
      </c>
    </row>
    <row r="333" spans="1:10" ht="15">
      <c r="A333" s="58" t="s">
        <v>747</v>
      </c>
      <c r="B333" s="58" t="s">
        <v>804</v>
      </c>
      <c r="C333" s="58" t="s">
        <v>807</v>
      </c>
      <c r="D333" s="58" t="s">
        <v>803</v>
      </c>
      <c r="E333" s="58">
        <v>845611</v>
      </c>
      <c r="F333" s="58">
        <v>64</v>
      </c>
      <c r="G333" s="58">
        <v>213845</v>
      </c>
      <c r="H333" s="69">
        <v>44753</v>
      </c>
      <c r="I333" s="88">
        <v>0.09</v>
      </c>
      <c r="J333" s="58">
        <v>2177369.91</v>
      </c>
    </row>
    <row r="334" spans="1:10" ht="15">
      <c r="A334" s="58" t="s">
        <v>747</v>
      </c>
      <c r="B334" s="58" t="s">
        <v>804</v>
      </c>
      <c r="C334" s="58" t="s">
        <v>809</v>
      </c>
      <c r="D334" s="58" t="s">
        <v>805</v>
      </c>
      <c r="E334" s="58">
        <v>2101114</v>
      </c>
      <c r="F334" s="58">
        <v>29</v>
      </c>
      <c r="G334" s="58">
        <v>137870</v>
      </c>
      <c r="H334" s="69">
        <v>45318</v>
      </c>
      <c r="I334" s="88">
        <v>0.25</v>
      </c>
      <c r="J334" s="58">
        <v>2390835</v>
      </c>
    </row>
    <row r="335" spans="1:10" ht="15">
      <c r="A335" s="58" t="s">
        <v>746</v>
      </c>
      <c r="B335" s="58" t="s">
        <v>792</v>
      </c>
      <c r="C335" s="58" t="s">
        <v>799</v>
      </c>
      <c r="D335" s="58" t="s">
        <v>810</v>
      </c>
      <c r="E335" s="58">
        <v>2281545</v>
      </c>
      <c r="F335" s="58">
        <v>28</v>
      </c>
      <c r="G335" s="58">
        <v>253901</v>
      </c>
      <c r="H335" s="69">
        <v>45148</v>
      </c>
      <c r="I335" s="88">
        <v>0.11</v>
      </c>
      <c r="J335" s="58">
        <v>1355202.8</v>
      </c>
    </row>
    <row r="336" spans="1:10" ht="15">
      <c r="A336" s="58" t="s">
        <v>740</v>
      </c>
      <c r="B336" s="58" t="s">
        <v>808</v>
      </c>
      <c r="C336" s="58" t="s">
        <v>798</v>
      </c>
      <c r="D336" s="58" t="s">
        <v>806</v>
      </c>
      <c r="E336" s="58">
        <v>3545964</v>
      </c>
      <c r="F336" s="58">
        <v>94</v>
      </c>
      <c r="G336" s="58">
        <v>67345</v>
      </c>
      <c r="H336" s="69">
        <v>44844</v>
      </c>
      <c r="I336" s="88">
        <v>0.03</v>
      </c>
      <c r="J336" s="58">
        <v>4663433.6100000003</v>
      </c>
    </row>
    <row r="337" spans="1:10" ht="15">
      <c r="A337" s="58" t="s">
        <v>747</v>
      </c>
      <c r="B337" s="58" t="s">
        <v>802</v>
      </c>
      <c r="C337" s="58" t="s">
        <v>798</v>
      </c>
      <c r="D337" s="58" t="s">
        <v>801</v>
      </c>
      <c r="E337" s="58">
        <v>171477</v>
      </c>
      <c r="F337" s="58">
        <v>18</v>
      </c>
      <c r="G337" s="58">
        <v>56011</v>
      </c>
      <c r="H337" s="69">
        <v>44638</v>
      </c>
      <c r="I337" s="88">
        <v>0.37</v>
      </c>
      <c r="J337" s="58">
        <v>521684.46</v>
      </c>
    </row>
    <row r="338" spans="1:10" ht="15">
      <c r="A338" s="58" t="s">
        <v>740</v>
      </c>
      <c r="B338" s="58" t="s">
        <v>814</v>
      </c>
      <c r="C338" s="58" t="s">
        <v>807</v>
      </c>
      <c r="D338" s="58" t="s">
        <v>805</v>
      </c>
      <c r="E338" s="58">
        <v>3216730</v>
      </c>
      <c r="F338" s="58">
        <v>68</v>
      </c>
      <c r="G338" s="58">
        <v>455677</v>
      </c>
      <c r="H338" s="69">
        <v>44976</v>
      </c>
      <c r="I338" s="88">
        <v>0.4</v>
      </c>
      <c r="J338" s="58">
        <v>362611.6</v>
      </c>
    </row>
    <row r="339" spans="1:10" ht="15">
      <c r="A339" s="58" t="s">
        <v>742</v>
      </c>
      <c r="B339" s="58" t="s">
        <v>809</v>
      </c>
      <c r="C339" s="58" t="s">
        <v>793</v>
      </c>
      <c r="D339" s="58" t="s">
        <v>811</v>
      </c>
      <c r="E339" s="58">
        <v>1973851</v>
      </c>
      <c r="F339" s="58">
        <v>84</v>
      </c>
      <c r="G339" s="58">
        <v>177949</v>
      </c>
      <c r="H339" s="69">
        <v>45240</v>
      </c>
      <c r="I339" s="88">
        <v>0.18</v>
      </c>
      <c r="J339" s="58">
        <v>1363031.61</v>
      </c>
    </row>
    <row r="340" spans="1:10" ht="15">
      <c r="A340" s="58" t="s">
        <v>746</v>
      </c>
      <c r="B340" s="58" t="s">
        <v>787</v>
      </c>
      <c r="C340" s="58" t="s">
        <v>799</v>
      </c>
      <c r="D340" s="58" t="s">
        <v>810</v>
      </c>
      <c r="E340" s="58">
        <v>3688184</v>
      </c>
      <c r="F340" s="58">
        <v>85</v>
      </c>
      <c r="G340" s="58">
        <v>121004</v>
      </c>
      <c r="H340" s="69">
        <v>45450</v>
      </c>
      <c r="I340" s="88">
        <v>0.26</v>
      </c>
      <c r="J340" s="58">
        <v>2307099.34</v>
      </c>
    </row>
    <row r="341" spans="1:10" ht="15">
      <c r="A341" s="58" t="s">
        <v>747</v>
      </c>
      <c r="B341" s="58" t="s">
        <v>802</v>
      </c>
      <c r="C341" s="58" t="s">
        <v>795</v>
      </c>
      <c r="D341" s="58" t="s">
        <v>810</v>
      </c>
      <c r="E341" s="58">
        <v>2775404</v>
      </c>
      <c r="F341" s="58">
        <v>96</v>
      </c>
      <c r="G341" s="58">
        <v>75728</v>
      </c>
      <c r="H341" s="69">
        <v>44777</v>
      </c>
      <c r="I341" s="88">
        <v>0.41</v>
      </c>
      <c r="J341" s="58">
        <v>481456.5</v>
      </c>
    </row>
    <row r="342" spans="1:10" ht="15">
      <c r="A342" s="58" t="s">
        <v>742</v>
      </c>
      <c r="B342" s="58" t="s">
        <v>804</v>
      </c>
      <c r="C342" s="58" t="s">
        <v>799</v>
      </c>
      <c r="D342" s="58" t="s">
        <v>806</v>
      </c>
      <c r="E342" s="58">
        <v>3098783</v>
      </c>
      <c r="F342" s="58">
        <v>6</v>
      </c>
      <c r="G342" s="58">
        <v>216955</v>
      </c>
      <c r="H342" s="69">
        <v>45070</v>
      </c>
      <c r="I342" s="88">
        <v>0.19</v>
      </c>
      <c r="J342" s="58">
        <v>2166460.92</v>
      </c>
    </row>
    <row r="343" spans="1:10" ht="15">
      <c r="A343" s="58" t="s">
        <v>745</v>
      </c>
      <c r="B343" s="58" t="s">
        <v>787</v>
      </c>
      <c r="C343" s="58" t="s">
        <v>793</v>
      </c>
      <c r="D343" s="58" t="s">
        <v>789</v>
      </c>
      <c r="E343" s="58">
        <v>1142727</v>
      </c>
      <c r="F343" s="58">
        <v>58</v>
      </c>
      <c r="G343" s="58">
        <v>244187</v>
      </c>
      <c r="H343" s="69">
        <v>44813</v>
      </c>
      <c r="I343" s="88">
        <v>0.13</v>
      </c>
      <c r="J343" s="58">
        <v>2293314.02</v>
      </c>
    </row>
    <row r="344" spans="1:10" ht="15">
      <c r="A344" s="58" t="s">
        <v>749</v>
      </c>
      <c r="B344" s="58" t="s">
        <v>802</v>
      </c>
      <c r="C344" s="58" t="s">
        <v>809</v>
      </c>
      <c r="D344" s="58" t="s">
        <v>791</v>
      </c>
      <c r="E344" s="58">
        <v>3386415</v>
      </c>
      <c r="F344" s="58">
        <v>66</v>
      </c>
      <c r="G344" s="58">
        <v>97321</v>
      </c>
      <c r="H344" s="69">
        <v>45274</v>
      </c>
      <c r="I344" s="88">
        <v>0.49</v>
      </c>
      <c r="J344" s="58">
        <v>3210636.63</v>
      </c>
    </row>
    <row r="345" spans="1:10" ht="15">
      <c r="A345" s="58" t="s">
        <v>741</v>
      </c>
      <c r="B345" s="58" t="s">
        <v>787</v>
      </c>
      <c r="C345" s="58" t="s">
        <v>788</v>
      </c>
      <c r="D345" s="58" t="s">
        <v>796</v>
      </c>
      <c r="E345" s="58">
        <v>679871</v>
      </c>
      <c r="F345" s="58">
        <v>15</v>
      </c>
      <c r="G345" s="58">
        <v>139026</v>
      </c>
      <c r="H345" s="69">
        <v>45357</v>
      </c>
      <c r="I345" s="88">
        <v>0.03</v>
      </c>
      <c r="J345" s="58">
        <v>2250669.2599999998</v>
      </c>
    </row>
    <row r="346" spans="1:10" ht="15">
      <c r="A346" s="58" t="s">
        <v>745</v>
      </c>
      <c r="B346" s="58" t="s">
        <v>809</v>
      </c>
      <c r="C346" s="58" t="s">
        <v>809</v>
      </c>
      <c r="D346" s="58" t="s">
        <v>812</v>
      </c>
      <c r="E346" s="58">
        <v>4161705</v>
      </c>
      <c r="F346" s="58">
        <v>64</v>
      </c>
      <c r="G346" s="58">
        <v>37821</v>
      </c>
      <c r="H346" s="69">
        <v>45571</v>
      </c>
      <c r="I346" s="88">
        <v>0.35</v>
      </c>
      <c r="J346" s="58">
        <v>826502.62</v>
      </c>
    </row>
    <row r="347" spans="1:10" ht="15">
      <c r="A347" s="58" t="s">
        <v>745</v>
      </c>
      <c r="B347" s="58" t="s">
        <v>792</v>
      </c>
      <c r="C347" s="58" t="s">
        <v>809</v>
      </c>
      <c r="D347" s="58" t="s">
        <v>810</v>
      </c>
      <c r="E347" s="58">
        <v>4096044</v>
      </c>
      <c r="F347" s="58">
        <v>76</v>
      </c>
      <c r="G347" s="58">
        <v>63773</v>
      </c>
      <c r="H347" s="69">
        <v>44563</v>
      </c>
      <c r="I347" s="88">
        <v>0.19</v>
      </c>
      <c r="J347" s="58">
        <v>1505591.84</v>
      </c>
    </row>
    <row r="348" spans="1:10" ht="15">
      <c r="A348" s="58" t="s">
        <v>744</v>
      </c>
      <c r="B348" s="58" t="s">
        <v>808</v>
      </c>
      <c r="C348" s="58" t="s">
        <v>799</v>
      </c>
      <c r="D348" s="58" t="s">
        <v>810</v>
      </c>
      <c r="E348" s="58">
        <v>3487479</v>
      </c>
      <c r="F348" s="58">
        <v>33</v>
      </c>
      <c r="G348" s="58">
        <v>209497</v>
      </c>
      <c r="H348" s="69">
        <v>45026</v>
      </c>
      <c r="I348" s="88">
        <v>0.01</v>
      </c>
      <c r="J348" s="58">
        <v>1066229.3999999999</v>
      </c>
    </row>
    <row r="349" spans="1:10" ht="15">
      <c r="A349" s="58" t="s">
        <v>745</v>
      </c>
      <c r="B349" s="58" t="s">
        <v>792</v>
      </c>
      <c r="C349" s="58" t="s">
        <v>799</v>
      </c>
      <c r="D349" s="58" t="s">
        <v>789</v>
      </c>
      <c r="E349" s="58">
        <v>2470150</v>
      </c>
      <c r="F349" s="58">
        <v>40</v>
      </c>
      <c r="G349" s="58">
        <v>473506</v>
      </c>
      <c r="H349" s="69">
        <v>44905</v>
      </c>
      <c r="I349" s="88">
        <v>0.13</v>
      </c>
      <c r="J349" s="58">
        <v>2197660.9</v>
      </c>
    </row>
    <row r="350" spans="1:10" ht="15">
      <c r="A350" s="58" t="s">
        <v>740</v>
      </c>
      <c r="B350" s="58" t="s">
        <v>787</v>
      </c>
      <c r="C350" s="58" t="s">
        <v>798</v>
      </c>
      <c r="D350" s="58" t="s">
        <v>812</v>
      </c>
      <c r="E350" s="58">
        <v>4275359</v>
      </c>
      <c r="F350" s="58">
        <v>69</v>
      </c>
      <c r="G350" s="58">
        <v>484967</v>
      </c>
      <c r="H350" s="69">
        <v>45056</v>
      </c>
      <c r="I350" s="88">
        <v>0.04</v>
      </c>
      <c r="J350" s="58">
        <v>569821.15</v>
      </c>
    </row>
    <row r="351" spans="1:10" ht="15">
      <c r="A351" s="58" t="s">
        <v>742</v>
      </c>
      <c r="B351" s="58" t="s">
        <v>790</v>
      </c>
      <c r="C351" s="58" t="s">
        <v>809</v>
      </c>
      <c r="D351" s="58" t="s">
        <v>810</v>
      </c>
      <c r="E351" s="58">
        <v>307811</v>
      </c>
      <c r="F351" s="58">
        <v>39</v>
      </c>
      <c r="G351" s="58">
        <v>46824</v>
      </c>
      <c r="H351" s="69">
        <v>44768</v>
      </c>
      <c r="I351" s="88">
        <v>0.33</v>
      </c>
      <c r="J351" s="58">
        <v>550851.36</v>
      </c>
    </row>
    <row r="352" spans="1:10" ht="15">
      <c r="A352" s="58" t="s">
        <v>746</v>
      </c>
      <c r="B352" s="58" t="s">
        <v>808</v>
      </c>
      <c r="C352" s="58" t="s">
        <v>807</v>
      </c>
      <c r="D352" s="58" t="s">
        <v>813</v>
      </c>
      <c r="E352" s="58">
        <v>4093408</v>
      </c>
      <c r="F352" s="58">
        <v>75</v>
      </c>
      <c r="G352" s="58">
        <v>247128</v>
      </c>
      <c r="H352" s="69">
        <v>44740</v>
      </c>
      <c r="I352" s="88">
        <v>0.36</v>
      </c>
      <c r="J352" s="58">
        <v>1923870.96</v>
      </c>
    </row>
    <row r="353" spans="1:10" ht="15">
      <c r="A353" s="58" t="s">
        <v>740</v>
      </c>
      <c r="B353" s="58" t="s">
        <v>797</v>
      </c>
      <c r="C353" s="58" t="s">
        <v>793</v>
      </c>
      <c r="D353" s="58" t="s">
        <v>800</v>
      </c>
      <c r="E353" s="58">
        <v>2855395</v>
      </c>
      <c r="F353" s="58">
        <v>78</v>
      </c>
      <c r="G353" s="58">
        <v>490057</v>
      </c>
      <c r="H353" s="69">
        <v>45174</v>
      </c>
      <c r="I353" s="88">
        <v>0.35</v>
      </c>
      <c r="J353" s="58">
        <v>2395228.4700000002</v>
      </c>
    </row>
    <row r="354" spans="1:10" ht="15">
      <c r="A354" s="58" t="s">
        <v>747</v>
      </c>
      <c r="B354" s="58" t="s">
        <v>797</v>
      </c>
      <c r="C354" s="58" t="s">
        <v>809</v>
      </c>
      <c r="D354" s="58" t="s">
        <v>805</v>
      </c>
      <c r="E354" s="58">
        <v>2412550</v>
      </c>
      <c r="F354" s="58">
        <v>94</v>
      </c>
      <c r="G354" s="58">
        <v>172918</v>
      </c>
      <c r="H354" s="69">
        <v>44916</v>
      </c>
      <c r="I354" s="88">
        <v>0.14000000000000001</v>
      </c>
      <c r="J354" s="58">
        <v>1061941.92</v>
      </c>
    </row>
    <row r="355" spans="1:10" ht="15">
      <c r="A355" s="58" t="s">
        <v>742</v>
      </c>
      <c r="B355" s="58" t="s">
        <v>802</v>
      </c>
      <c r="C355" s="58" t="s">
        <v>788</v>
      </c>
      <c r="D355" s="58" t="s">
        <v>801</v>
      </c>
      <c r="E355" s="58">
        <v>3872723</v>
      </c>
      <c r="F355" s="58">
        <v>1</v>
      </c>
      <c r="G355" s="58">
        <v>400159</v>
      </c>
      <c r="H355" s="69">
        <v>45171</v>
      </c>
      <c r="I355" s="88">
        <v>0.28000000000000003</v>
      </c>
      <c r="J355" s="58">
        <v>1334006.67</v>
      </c>
    </row>
    <row r="356" spans="1:10" ht="15">
      <c r="A356" s="58" t="s">
        <v>748</v>
      </c>
      <c r="B356" s="58" t="s">
        <v>809</v>
      </c>
      <c r="C356" s="58" t="s">
        <v>809</v>
      </c>
      <c r="D356" s="58" t="s">
        <v>810</v>
      </c>
      <c r="E356" s="58">
        <v>4609292</v>
      </c>
      <c r="F356" s="58">
        <v>1</v>
      </c>
      <c r="G356" s="58">
        <v>282751</v>
      </c>
      <c r="H356" s="69">
        <v>44786</v>
      </c>
      <c r="I356" s="88">
        <v>0.11</v>
      </c>
      <c r="J356" s="58">
        <v>2764962.2</v>
      </c>
    </row>
    <row r="357" spans="1:10" ht="15">
      <c r="A357" s="58" t="s">
        <v>748</v>
      </c>
      <c r="B357" s="58" t="s">
        <v>804</v>
      </c>
      <c r="C357" s="58" t="s">
        <v>795</v>
      </c>
      <c r="D357" s="58" t="s">
        <v>805</v>
      </c>
      <c r="E357" s="58">
        <v>3502414</v>
      </c>
      <c r="F357" s="58">
        <v>78</v>
      </c>
      <c r="G357" s="58">
        <v>99911</v>
      </c>
      <c r="H357" s="69">
        <v>45287</v>
      </c>
      <c r="I357" s="88">
        <v>0.48</v>
      </c>
      <c r="J357" s="58">
        <v>1526029.92</v>
      </c>
    </row>
    <row r="358" spans="1:10" ht="15">
      <c r="A358" s="58" t="s">
        <v>749</v>
      </c>
      <c r="B358" s="58" t="s">
        <v>804</v>
      </c>
      <c r="C358" s="58" t="s">
        <v>799</v>
      </c>
      <c r="D358" s="58" t="s">
        <v>812</v>
      </c>
      <c r="E358" s="58">
        <v>3664373</v>
      </c>
      <c r="F358" s="58">
        <v>22</v>
      </c>
      <c r="G358" s="58">
        <v>356062</v>
      </c>
      <c r="H358" s="69">
        <v>44830</v>
      </c>
      <c r="I358" s="88">
        <v>0.17</v>
      </c>
      <c r="J358" s="58">
        <v>4061198.96</v>
      </c>
    </row>
    <row r="359" spans="1:10" ht="15">
      <c r="A359" s="58" t="s">
        <v>742</v>
      </c>
      <c r="B359" s="58" t="s">
        <v>802</v>
      </c>
      <c r="C359" s="58" t="s">
        <v>798</v>
      </c>
      <c r="D359" s="58" t="s">
        <v>796</v>
      </c>
      <c r="E359" s="58">
        <v>556040</v>
      </c>
      <c r="F359" s="58">
        <v>17</v>
      </c>
      <c r="G359" s="58">
        <v>396659</v>
      </c>
      <c r="H359" s="69">
        <v>45098</v>
      </c>
      <c r="I359" s="88">
        <v>0.02</v>
      </c>
      <c r="J359" s="58">
        <v>2432241.7599999998</v>
      </c>
    </row>
    <row r="360" spans="1:10" ht="15">
      <c r="A360" s="58" t="s">
        <v>740</v>
      </c>
      <c r="B360" s="58" t="s">
        <v>809</v>
      </c>
      <c r="C360" s="58" t="s">
        <v>798</v>
      </c>
      <c r="D360" s="58" t="s">
        <v>791</v>
      </c>
      <c r="E360" s="58">
        <v>44075</v>
      </c>
      <c r="F360" s="58">
        <v>80</v>
      </c>
      <c r="G360" s="58">
        <v>24688</v>
      </c>
      <c r="H360" s="69">
        <v>44899</v>
      </c>
      <c r="I360" s="88">
        <v>0.41</v>
      </c>
      <c r="J360" s="58">
        <v>3695464.08</v>
      </c>
    </row>
    <row r="361" spans="1:10" ht="15">
      <c r="A361" s="58" t="s">
        <v>744</v>
      </c>
      <c r="B361" s="58" t="s">
        <v>814</v>
      </c>
      <c r="C361" s="58" t="s">
        <v>798</v>
      </c>
      <c r="D361" s="58" t="s">
        <v>812</v>
      </c>
      <c r="E361" s="58">
        <v>4572955</v>
      </c>
      <c r="F361" s="58">
        <v>19</v>
      </c>
      <c r="G361" s="58">
        <v>491150</v>
      </c>
      <c r="H361" s="69">
        <v>45532</v>
      </c>
      <c r="I361" s="88">
        <v>0.11</v>
      </c>
      <c r="J361" s="58">
        <v>2158056.48</v>
      </c>
    </row>
    <row r="362" spans="1:10" ht="15">
      <c r="A362" s="58" t="s">
        <v>744</v>
      </c>
      <c r="B362" s="58" t="s">
        <v>814</v>
      </c>
      <c r="C362" s="58" t="s">
        <v>788</v>
      </c>
      <c r="D362" s="58" t="s">
        <v>805</v>
      </c>
      <c r="E362" s="58">
        <v>3303394</v>
      </c>
      <c r="F362" s="58">
        <v>5</v>
      </c>
      <c r="G362" s="58">
        <v>151449</v>
      </c>
      <c r="H362" s="69">
        <v>44849</v>
      </c>
      <c r="I362" s="88">
        <v>0.42</v>
      </c>
      <c r="J362" s="58">
        <v>4211432</v>
      </c>
    </row>
    <row r="363" spans="1:10" ht="15">
      <c r="A363" s="58" t="s">
        <v>740</v>
      </c>
      <c r="B363" s="58" t="s">
        <v>797</v>
      </c>
      <c r="C363" s="58" t="s">
        <v>799</v>
      </c>
      <c r="D363" s="58" t="s">
        <v>796</v>
      </c>
      <c r="E363" s="58">
        <v>3858322</v>
      </c>
      <c r="F363" s="58">
        <v>73</v>
      </c>
      <c r="G363" s="58">
        <v>294174</v>
      </c>
      <c r="H363" s="69">
        <v>45576</v>
      </c>
      <c r="I363" s="88">
        <v>0.38</v>
      </c>
      <c r="J363" s="58">
        <v>4483848.88</v>
      </c>
    </row>
    <row r="364" spans="1:10" ht="15">
      <c r="A364" s="58" t="s">
        <v>743</v>
      </c>
      <c r="B364" s="58" t="s">
        <v>802</v>
      </c>
      <c r="C364" s="58" t="s">
        <v>795</v>
      </c>
      <c r="D364" s="58" t="s">
        <v>806</v>
      </c>
      <c r="E364" s="58">
        <v>626533</v>
      </c>
      <c r="F364" s="58">
        <v>29</v>
      </c>
      <c r="G364" s="58">
        <v>445813</v>
      </c>
      <c r="H364" s="69">
        <v>45637</v>
      </c>
      <c r="I364" s="88">
        <v>0.23</v>
      </c>
      <c r="J364" s="58">
        <v>883844.94</v>
      </c>
    </row>
    <row r="365" spans="1:10" ht="15">
      <c r="A365" s="58" t="s">
        <v>740</v>
      </c>
      <c r="B365" s="58" t="s">
        <v>804</v>
      </c>
      <c r="C365" s="58" t="s">
        <v>788</v>
      </c>
      <c r="D365" s="58" t="s">
        <v>789</v>
      </c>
      <c r="E365" s="58">
        <v>656087</v>
      </c>
      <c r="F365" s="58">
        <v>24</v>
      </c>
      <c r="G365" s="58">
        <v>135032</v>
      </c>
      <c r="H365" s="69">
        <v>44642</v>
      </c>
      <c r="I365" s="88">
        <v>0.08</v>
      </c>
      <c r="J365" s="58">
        <v>1001404.22</v>
      </c>
    </row>
    <row r="366" spans="1:10" ht="15">
      <c r="A366" s="58" t="s">
        <v>740</v>
      </c>
      <c r="B366" s="58" t="s">
        <v>797</v>
      </c>
      <c r="C366" s="58" t="s">
        <v>795</v>
      </c>
      <c r="D366" s="58" t="s">
        <v>811</v>
      </c>
      <c r="E366" s="58">
        <v>4362049</v>
      </c>
      <c r="F366" s="58">
        <v>53</v>
      </c>
      <c r="G366" s="58">
        <v>36293</v>
      </c>
      <c r="H366" s="69">
        <v>44814</v>
      </c>
      <c r="I366" s="88">
        <v>0.14000000000000001</v>
      </c>
      <c r="J366" s="58">
        <v>1038744.63</v>
      </c>
    </row>
    <row r="367" spans="1:10" ht="15">
      <c r="A367" s="58" t="s">
        <v>741</v>
      </c>
      <c r="B367" s="58" t="s">
        <v>792</v>
      </c>
      <c r="C367" s="58" t="s">
        <v>798</v>
      </c>
      <c r="D367" s="58" t="s">
        <v>803</v>
      </c>
      <c r="E367" s="58">
        <v>1546186</v>
      </c>
      <c r="F367" s="58">
        <v>56</v>
      </c>
      <c r="G367" s="58">
        <v>376115</v>
      </c>
      <c r="H367" s="69">
        <v>44989</v>
      </c>
      <c r="I367" s="88">
        <v>0.15</v>
      </c>
      <c r="J367" s="58">
        <v>1468225.55</v>
      </c>
    </row>
    <row r="368" spans="1:10" ht="15">
      <c r="A368" s="58" t="s">
        <v>744</v>
      </c>
      <c r="B368" s="58" t="s">
        <v>808</v>
      </c>
      <c r="C368" s="58" t="s">
        <v>799</v>
      </c>
      <c r="D368" s="58" t="s">
        <v>815</v>
      </c>
      <c r="E368" s="58">
        <v>258391</v>
      </c>
      <c r="F368" s="58">
        <v>57</v>
      </c>
      <c r="G368" s="58">
        <v>92970</v>
      </c>
      <c r="H368" s="69">
        <v>45538</v>
      </c>
      <c r="I368" s="88">
        <v>0.39</v>
      </c>
      <c r="J368" s="58">
        <v>2934268.47</v>
      </c>
    </row>
    <row r="369" spans="1:10" ht="15">
      <c r="A369" s="58" t="s">
        <v>749</v>
      </c>
      <c r="B369" s="58" t="s">
        <v>809</v>
      </c>
      <c r="C369" s="58" t="s">
        <v>807</v>
      </c>
      <c r="D369" s="58" t="s">
        <v>806</v>
      </c>
      <c r="E369" s="58">
        <v>4566084</v>
      </c>
      <c r="F369" s="58">
        <v>83</v>
      </c>
      <c r="G369" s="58">
        <v>153791</v>
      </c>
      <c r="H369" s="69">
        <v>44793</v>
      </c>
      <c r="I369" s="88">
        <v>0.02</v>
      </c>
      <c r="J369" s="58">
        <v>2789066.28</v>
      </c>
    </row>
    <row r="370" spans="1:10" ht="15">
      <c r="A370" s="58" t="s">
        <v>742</v>
      </c>
      <c r="B370" s="58" t="s">
        <v>802</v>
      </c>
      <c r="C370" s="58" t="s">
        <v>799</v>
      </c>
      <c r="D370" s="58" t="s">
        <v>791</v>
      </c>
      <c r="E370" s="58">
        <v>3114960</v>
      </c>
      <c r="F370" s="58">
        <v>85</v>
      </c>
      <c r="G370" s="58">
        <v>141387</v>
      </c>
      <c r="H370" s="69">
        <v>44691</v>
      </c>
      <c r="I370" s="88">
        <v>0.03</v>
      </c>
      <c r="J370" s="58">
        <v>1761474.06</v>
      </c>
    </row>
    <row r="371" spans="1:10" ht="15">
      <c r="A371" s="58" t="s">
        <v>747</v>
      </c>
      <c r="B371" s="58" t="s">
        <v>802</v>
      </c>
      <c r="C371" s="58" t="s">
        <v>809</v>
      </c>
      <c r="D371" s="58" t="s">
        <v>806</v>
      </c>
      <c r="E371" s="58">
        <v>3211562</v>
      </c>
      <c r="F371" s="58">
        <v>98</v>
      </c>
      <c r="G371" s="58">
        <v>396043</v>
      </c>
      <c r="H371" s="69">
        <v>44979</v>
      </c>
      <c r="I371" s="88">
        <v>0.38</v>
      </c>
      <c r="J371" s="58">
        <v>608127.36</v>
      </c>
    </row>
    <row r="372" spans="1:10" ht="15">
      <c r="A372" s="58" t="s">
        <v>740</v>
      </c>
      <c r="B372" s="58" t="s">
        <v>790</v>
      </c>
      <c r="C372" s="58" t="s">
        <v>798</v>
      </c>
      <c r="D372" s="58" t="s">
        <v>791</v>
      </c>
      <c r="E372" s="58">
        <v>1902944</v>
      </c>
      <c r="F372" s="58">
        <v>91</v>
      </c>
      <c r="G372" s="58">
        <v>283574</v>
      </c>
      <c r="H372" s="69">
        <v>44928</v>
      </c>
      <c r="I372" s="88">
        <v>0.42</v>
      </c>
      <c r="J372" s="58">
        <v>2248335.0299999998</v>
      </c>
    </row>
    <row r="373" spans="1:10" ht="15">
      <c r="A373" s="58" t="s">
        <v>743</v>
      </c>
      <c r="B373" s="58" t="s">
        <v>792</v>
      </c>
      <c r="C373" s="58" t="s">
        <v>795</v>
      </c>
      <c r="D373" s="58" t="s">
        <v>815</v>
      </c>
      <c r="E373" s="58">
        <v>1291083</v>
      </c>
      <c r="F373" s="58">
        <v>65</v>
      </c>
      <c r="G373" s="58">
        <v>478969</v>
      </c>
      <c r="H373" s="69">
        <v>44985</v>
      </c>
      <c r="I373" s="88">
        <v>0.43</v>
      </c>
      <c r="J373" s="58">
        <v>2171441.86</v>
      </c>
    </row>
    <row r="374" spans="1:10" ht="15">
      <c r="A374" s="58" t="s">
        <v>748</v>
      </c>
      <c r="B374" s="58" t="s">
        <v>809</v>
      </c>
      <c r="C374" s="58" t="s">
        <v>809</v>
      </c>
      <c r="D374" s="58" t="s">
        <v>811</v>
      </c>
      <c r="E374" s="58">
        <v>3962122</v>
      </c>
      <c r="F374" s="58">
        <v>13</v>
      </c>
      <c r="G374" s="58">
        <v>428765</v>
      </c>
      <c r="H374" s="69">
        <v>44584</v>
      </c>
      <c r="I374" s="88">
        <v>0.39</v>
      </c>
      <c r="J374" s="58">
        <v>1078974.1599999999</v>
      </c>
    </row>
    <row r="375" spans="1:10" ht="15">
      <c r="A375" s="58" t="s">
        <v>749</v>
      </c>
      <c r="B375" s="58" t="s">
        <v>809</v>
      </c>
      <c r="C375" s="58" t="s">
        <v>795</v>
      </c>
      <c r="D375" s="58" t="s">
        <v>789</v>
      </c>
      <c r="E375" s="58">
        <v>621552</v>
      </c>
      <c r="F375" s="58">
        <v>90</v>
      </c>
      <c r="G375" s="58">
        <v>430163</v>
      </c>
      <c r="H375" s="69">
        <v>45364</v>
      </c>
      <c r="I375" s="88">
        <v>0.43</v>
      </c>
      <c r="J375" s="58">
        <v>2688309.25</v>
      </c>
    </row>
    <row r="376" spans="1:10" ht="15">
      <c r="A376" s="58" t="s">
        <v>745</v>
      </c>
      <c r="B376" s="58" t="s">
        <v>787</v>
      </c>
      <c r="C376" s="58" t="s">
        <v>798</v>
      </c>
      <c r="D376" s="58" t="s">
        <v>812</v>
      </c>
      <c r="E376" s="58">
        <v>562780</v>
      </c>
      <c r="F376" s="58">
        <v>83</v>
      </c>
      <c r="G376" s="58">
        <v>411016</v>
      </c>
      <c r="H376" s="69">
        <v>45079</v>
      </c>
      <c r="I376" s="88">
        <v>0.12</v>
      </c>
      <c r="J376" s="58">
        <v>860459.56</v>
      </c>
    </row>
    <row r="377" spans="1:10" ht="15">
      <c r="A377" s="58" t="s">
        <v>740</v>
      </c>
      <c r="B377" s="58" t="s">
        <v>808</v>
      </c>
      <c r="C377" s="58" t="s">
        <v>807</v>
      </c>
      <c r="D377" s="58" t="s">
        <v>812</v>
      </c>
      <c r="E377" s="58">
        <v>2980128</v>
      </c>
      <c r="F377" s="58">
        <v>16</v>
      </c>
      <c r="G377" s="58">
        <v>277282</v>
      </c>
      <c r="H377" s="69">
        <v>45378</v>
      </c>
      <c r="I377" s="88">
        <v>0.25</v>
      </c>
      <c r="J377" s="58">
        <v>826377.33</v>
      </c>
    </row>
    <row r="378" spans="1:10" ht="15">
      <c r="A378" s="58" t="s">
        <v>744</v>
      </c>
      <c r="B378" s="58" t="s">
        <v>802</v>
      </c>
      <c r="C378" s="58" t="s">
        <v>798</v>
      </c>
      <c r="D378" s="58" t="s">
        <v>811</v>
      </c>
      <c r="E378" s="58">
        <v>1457778</v>
      </c>
      <c r="F378" s="58">
        <v>87</v>
      </c>
      <c r="G378" s="58">
        <v>95445</v>
      </c>
      <c r="H378" s="69">
        <v>44615</v>
      </c>
      <c r="I378" s="88">
        <v>0.25</v>
      </c>
      <c r="J378" s="58">
        <v>2279454.87</v>
      </c>
    </row>
    <row r="379" spans="1:10" ht="15">
      <c r="A379" s="58" t="s">
        <v>745</v>
      </c>
      <c r="B379" s="58" t="s">
        <v>802</v>
      </c>
      <c r="C379" s="58" t="s">
        <v>807</v>
      </c>
      <c r="D379" s="58" t="s">
        <v>812</v>
      </c>
      <c r="E379" s="58">
        <v>1351898</v>
      </c>
      <c r="F379" s="58">
        <v>52</v>
      </c>
      <c r="G379" s="58">
        <v>448513</v>
      </c>
      <c r="H379" s="69">
        <v>44686</v>
      </c>
      <c r="I379" s="88">
        <v>0.1</v>
      </c>
      <c r="J379" s="58">
        <v>3103119</v>
      </c>
    </row>
    <row r="380" spans="1:10" ht="15">
      <c r="A380" s="58" t="s">
        <v>740</v>
      </c>
      <c r="B380" s="58" t="s">
        <v>808</v>
      </c>
      <c r="C380" s="58" t="s">
        <v>798</v>
      </c>
      <c r="D380" s="58" t="s">
        <v>796</v>
      </c>
      <c r="E380" s="58">
        <v>518470</v>
      </c>
      <c r="F380" s="58">
        <v>78</v>
      </c>
      <c r="G380" s="58">
        <v>102630</v>
      </c>
      <c r="H380" s="69">
        <v>44816</v>
      </c>
      <c r="I380" s="88">
        <v>0.2</v>
      </c>
      <c r="J380" s="58">
        <v>3875436.64</v>
      </c>
    </row>
    <row r="381" spans="1:10" ht="15">
      <c r="A381" s="58" t="s">
        <v>748</v>
      </c>
      <c r="B381" s="58" t="s">
        <v>804</v>
      </c>
      <c r="C381" s="58" t="s">
        <v>788</v>
      </c>
      <c r="D381" s="58" t="s">
        <v>811</v>
      </c>
      <c r="E381" s="58">
        <v>1901095</v>
      </c>
      <c r="F381" s="58">
        <v>58</v>
      </c>
      <c r="G381" s="58">
        <v>498772</v>
      </c>
      <c r="H381" s="69">
        <v>44661</v>
      </c>
      <c r="I381" s="88">
        <v>0.35</v>
      </c>
      <c r="J381" s="58">
        <v>36940.28</v>
      </c>
    </row>
    <row r="382" spans="1:10" ht="15">
      <c r="A382" s="58" t="s">
        <v>742</v>
      </c>
      <c r="B382" s="58" t="s">
        <v>790</v>
      </c>
      <c r="C382" s="58" t="s">
        <v>799</v>
      </c>
      <c r="D382" s="58" t="s">
        <v>796</v>
      </c>
      <c r="E382" s="58">
        <v>786215</v>
      </c>
      <c r="F382" s="58">
        <v>100</v>
      </c>
      <c r="G382" s="58">
        <v>370405</v>
      </c>
      <c r="H382" s="69">
        <v>44696</v>
      </c>
      <c r="I382" s="88">
        <v>0.37</v>
      </c>
      <c r="J382" s="58">
        <v>320410.2</v>
      </c>
    </row>
    <row r="383" spans="1:10" ht="15">
      <c r="A383" s="58" t="s">
        <v>742</v>
      </c>
      <c r="B383" s="58" t="s">
        <v>804</v>
      </c>
      <c r="C383" s="58" t="s">
        <v>795</v>
      </c>
      <c r="D383" s="58" t="s">
        <v>806</v>
      </c>
      <c r="E383" s="58">
        <v>495189</v>
      </c>
      <c r="F383" s="58">
        <v>76</v>
      </c>
      <c r="G383" s="58">
        <v>384445</v>
      </c>
      <c r="H383" s="69">
        <v>45618</v>
      </c>
      <c r="I383" s="88">
        <v>0.09</v>
      </c>
      <c r="J383" s="58">
        <v>314038.68</v>
      </c>
    </row>
    <row r="384" spans="1:10" ht="15">
      <c r="A384" s="58" t="s">
        <v>744</v>
      </c>
      <c r="B384" s="58" t="s">
        <v>792</v>
      </c>
      <c r="C384" s="58" t="s">
        <v>798</v>
      </c>
      <c r="D384" s="58" t="s">
        <v>815</v>
      </c>
      <c r="E384" s="58">
        <v>1274391</v>
      </c>
      <c r="F384" s="58">
        <v>33</v>
      </c>
      <c r="G384" s="58">
        <v>66782</v>
      </c>
      <c r="H384" s="69">
        <v>45144</v>
      </c>
      <c r="I384" s="88">
        <v>0.4</v>
      </c>
      <c r="J384" s="58">
        <v>4377237.0999999996</v>
      </c>
    </row>
    <row r="385" spans="1:10" ht="15">
      <c r="A385" s="58" t="s">
        <v>746</v>
      </c>
      <c r="B385" s="58" t="s">
        <v>804</v>
      </c>
      <c r="C385" s="58" t="s">
        <v>799</v>
      </c>
      <c r="D385" s="58" t="s">
        <v>806</v>
      </c>
      <c r="E385" s="58">
        <v>298403</v>
      </c>
      <c r="F385" s="58">
        <v>55</v>
      </c>
      <c r="G385" s="58">
        <v>275447</v>
      </c>
      <c r="H385" s="69">
        <v>44817</v>
      </c>
      <c r="I385" s="88">
        <v>0</v>
      </c>
      <c r="J385" s="58">
        <v>599524.71</v>
      </c>
    </row>
    <row r="386" spans="1:10" ht="15">
      <c r="A386" s="58" t="s">
        <v>743</v>
      </c>
      <c r="B386" s="58" t="s">
        <v>787</v>
      </c>
      <c r="C386" s="58" t="s">
        <v>793</v>
      </c>
      <c r="D386" s="58" t="s">
        <v>811</v>
      </c>
      <c r="E386" s="58">
        <v>4198709</v>
      </c>
      <c r="F386" s="58">
        <v>99</v>
      </c>
      <c r="G386" s="58">
        <v>488205</v>
      </c>
      <c r="H386" s="69">
        <v>44945</v>
      </c>
      <c r="I386" s="88">
        <v>0.3</v>
      </c>
      <c r="J386" s="58">
        <v>493472</v>
      </c>
    </row>
    <row r="387" spans="1:10" ht="15">
      <c r="A387" s="58" t="s">
        <v>743</v>
      </c>
      <c r="B387" s="58" t="s">
        <v>809</v>
      </c>
      <c r="C387" s="58" t="s">
        <v>788</v>
      </c>
      <c r="D387" s="58" t="s">
        <v>810</v>
      </c>
      <c r="E387" s="58">
        <v>4772800</v>
      </c>
      <c r="F387" s="58">
        <v>52</v>
      </c>
      <c r="G387" s="58">
        <v>187090</v>
      </c>
      <c r="H387" s="69">
        <v>44578</v>
      </c>
      <c r="I387" s="88">
        <v>0.49</v>
      </c>
      <c r="J387" s="58">
        <v>2856043.54</v>
      </c>
    </row>
    <row r="388" spans="1:10" ht="15">
      <c r="A388" s="58" t="s">
        <v>749</v>
      </c>
      <c r="B388" s="58" t="s">
        <v>792</v>
      </c>
      <c r="C388" s="58" t="s">
        <v>799</v>
      </c>
      <c r="D388" s="58" t="s">
        <v>805</v>
      </c>
      <c r="E388" s="58">
        <v>3524190</v>
      </c>
      <c r="F388" s="58">
        <v>80</v>
      </c>
      <c r="G388" s="58">
        <v>456843</v>
      </c>
      <c r="H388" s="69">
        <v>44666</v>
      </c>
      <c r="I388" s="88">
        <v>0.1</v>
      </c>
      <c r="J388" s="58">
        <v>2258208.7999999998</v>
      </c>
    </row>
    <row r="389" spans="1:10" ht="15">
      <c r="A389" s="58" t="s">
        <v>741</v>
      </c>
      <c r="B389" s="58" t="s">
        <v>797</v>
      </c>
      <c r="C389" s="58" t="s">
        <v>795</v>
      </c>
      <c r="D389" s="58" t="s">
        <v>805</v>
      </c>
      <c r="E389" s="58">
        <v>917232</v>
      </c>
      <c r="F389" s="58">
        <v>6</v>
      </c>
      <c r="G389" s="58">
        <v>136470</v>
      </c>
      <c r="H389" s="69">
        <v>45497</v>
      </c>
      <c r="I389" s="88">
        <v>0.38</v>
      </c>
      <c r="J389" s="58">
        <v>3364584.44</v>
      </c>
    </row>
    <row r="390" spans="1:10" ht="15">
      <c r="A390" s="58" t="s">
        <v>740</v>
      </c>
      <c r="B390" s="58" t="s">
        <v>790</v>
      </c>
      <c r="C390" s="58" t="s">
        <v>788</v>
      </c>
      <c r="D390" s="58" t="s">
        <v>789</v>
      </c>
      <c r="E390" s="58">
        <v>2833360</v>
      </c>
      <c r="F390" s="58">
        <v>4</v>
      </c>
      <c r="G390" s="58">
        <v>306957</v>
      </c>
      <c r="H390" s="69">
        <v>45479</v>
      </c>
      <c r="I390" s="88">
        <v>0.37</v>
      </c>
      <c r="J390" s="58">
        <v>1658613.74</v>
      </c>
    </row>
    <row r="391" spans="1:10" ht="15">
      <c r="A391" s="58" t="s">
        <v>748</v>
      </c>
      <c r="B391" s="58" t="s">
        <v>794</v>
      </c>
      <c r="C391" s="58" t="s">
        <v>795</v>
      </c>
      <c r="D391" s="58" t="s">
        <v>810</v>
      </c>
      <c r="E391" s="58">
        <v>2898386</v>
      </c>
      <c r="F391" s="58">
        <v>48</v>
      </c>
      <c r="G391" s="58">
        <v>318892</v>
      </c>
      <c r="H391" s="69">
        <v>45514</v>
      </c>
      <c r="I391" s="88">
        <v>0.2</v>
      </c>
      <c r="J391" s="58">
        <v>2734682.72</v>
      </c>
    </row>
    <row r="392" spans="1:10" ht="15">
      <c r="A392" s="58" t="s">
        <v>744</v>
      </c>
      <c r="B392" s="58" t="s">
        <v>790</v>
      </c>
      <c r="C392" s="58" t="s">
        <v>788</v>
      </c>
      <c r="D392" s="58" t="s">
        <v>803</v>
      </c>
      <c r="E392" s="58">
        <v>3348747</v>
      </c>
      <c r="F392" s="58">
        <v>36</v>
      </c>
      <c r="G392" s="58">
        <v>132005</v>
      </c>
      <c r="H392" s="69">
        <v>44866</v>
      </c>
      <c r="I392" s="88">
        <v>0.44</v>
      </c>
      <c r="J392" s="58">
        <v>889791.98</v>
      </c>
    </row>
    <row r="393" spans="1:10" ht="15">
      <c r="A393" s="58" t="s">
        <v>743</v>
      </c>
      <c r="B393" s="58" t="s">
        <v>794</v>
      </c>
      <c r="C393" s="58" t="s">
        <v>809</v>
      </c>
      <c r="D393" s="58" t="s">
        <v>800</v>
      </c>
      <c r="E393" s="58">
        <v>485296</v>
      </c>
      <c r="F393" s="58">
        <v>92</v>
      </c>
      <c r="G393" s="58">
        <v>15535</v>
      </c>
      <c r="H393" s="69">
        <v>45009</v>
      </c>
      <c r="I393" s="88">
        <v>0.49</v>
      </c>
      <c r="J393" s="58">
        <v>1448163.14</v>
      </c>
    </row>
    <row r="394" spans="1:10" ht="15">
      <c r="A394" s="58" t="s">
        <v>746</v>
      </c>
      <c r="B394" s="58" t="s">
        <v>802</v>
      </c>
      <c r="C394" s="58" t="s">
        <v>809</v>
      </c>
      <c r="D394" s="58" t="s">
        <v>812</v>
      </c>
      <c r="E394" s="58">
        <v>4953431</v>
      </c>
      <c r="F394" s="58">
        <v>1</v>
      </c>
      <c r="G394" s="58">
        <v>440170</v>
      </c>
      <c r="H394" s="69">
        <v>45360</v>
      </c>
      <c r="I394" s="88">
        <v>0.28000000000000003</v>
      </c>
      <c r="J394" s="58">
        <v>2039513.77</v>
      </c>
    </row>
    <row r="395" spans="1:10" ht="15">
      <c r="A395" s="58" t="s">
        <v>749</v>
      </c>
      <c r="B395" s="58" t="s">
        <v>792</v>
      </c>
      <c r="C395" s="58" t="s">
        <v>807</v>
      </c>
      <c r="D395" s="58" t="s">
        <v>796</v>
      </c>
      <c r="E395" s="58">
        <v>2656052</v>
      </c>
      <c r="F395" s="58">
        <v>18</v>
      </c>
      <c r="G395" s="58">
        <v>463387</v>
      </c>
      <c r="H395" s="69">
        <v>44669</v>
      </c>
      <c r="I395" s="88">
        <v>0.38</v>
      </c>
      <c r="J395" s="58">
        <v>1760643.84</v>
      </c>
    </row>
    <row r="396" spans="1:10" ht="15">
      <c r="A396" s="58" t="s">
        <v>747</v>
      </c>
      <c r="B396" s="58" t="s">
        <v>794</v>
      </c>
      <c r="C396" s="58" t="s">
        <v>788</v>
      </c>
      <c r="D396" s="58" t="s">
        <v>789</v>
      </c>
      <c r="E396" s="58">
        <v>2807148</v>
      </c>
      <c r="F396" s="58">
        <v>73</v>
      </c>
      <c r="G396" s="58">
        <v>444026</v>
      </c>
      <c r="H396" s="69">
        <v>45181</v>
      </c>
      <c r="I396" s="88">
        <v>0.16</v>
      </c>
      <c r="J396" s="58">
        <v>3395475.28</v>
      </c>
    </row>
    <row r="397" spans="1:10" ht="15">
      <c r="A397" s="58" t="s">
        <v>745</v>
      </c>
      <c r="B397" s="58" t="s">
        <v>809</v>
      </c>
      <c r="C397" s="58" t="s">
        <v>799</v>
      </c>
      <c r="D397" s="58" t="s">
        <v>811</v>
      </c>
      <c r="E397" s="58">
        <v>2150210</v>
      </c>
      <c r="F397" s="58">
        <v>29</v>
      </c>
      <c r="G397" s="58">
        <v>16889</v>
      </c>
      <c r="H397" s="69">
        <v>45294</v>
      </c>
      <c r="I397" s="88">
        <v>0.09</v>
      </c>
      <c r="J397" s="58">
        <v>2816084.25</v>
      </c>
    </row>
    <row r="398" spans="1:10" ht="15">
      <c r="A398" s="58" t="s">
        <v>741</v>
      </c>
      <c r="B398" s="58" t="s">
        <v>814</v>
      </c>
      <c r="C398" s="58" t="s">
        <v>809</v>
      </c>
      <c r="D398" s="58" t="s">
        <v>813</v>
      </c>
      <c r="E398" s="58">
        <v>4780192</v>
      </c>
      <c r="F398" s="58">
        <v>51</v>
      </c>
      <c r="G398" s="58">
        <v>249280</v>
      </c>
      <c r="H398" s="69">
        <v>45049</v>
      </c>
      <c r="I398" s="88">
        <v>0.34</v>
      </c>
      <c r="J398" s="58">
        <v>1056003.96</v>
      </c>
    </row>
    <row r="399" spans="1:10" ht="15">
      <c r="A399" s="58" t="s">
        <v>746</v>
      </c>
      <c r="B399" s="58" t="s">
        <v>790</v>
      </c>
      <c r="C399" s="58" t="s">
        <v>807</v>
      </c>
      <c r="D399" s="58" t="s">
        <v>812</v>
      </c>
      <c r="E399" s="58">
        <v>4256553</v>
      </c>
      <c r="F399" s="58">
        <v>62</v>
      </c>
      <c r="G399" s="58">
        <v>82773</v>
      </c>
      <c r="H399" s="69">
        <v>45570</v>
      </c>
      <c r="I399" s="88">
        <v>0.26</v>
      </c>
      <c r="J399" s="58">
        <v>229229.6</v>
      </c>
    </row>
    <row r="400" spans="1:10" ht="15">
      <c r="A400" s="58" t="s">
        <v>747</v>
      </c>
      <c r="B400" s="58" t="s">
        <v>804</v>
      </c>
      <c r="C400" s="58" t="s">
        <v>795</v>
      </c>
      <c r="D400" s="58" t="s">
        <v>813</v>
      </c>
      <c r="E400" s="58">
        <v>4767263</v>
      </c>
      <c r="F400" s="58">
        <v>33</v>
      </c>
      <c r="G400" s="58">
        <v>476210</v>
      </c>
      <c r="H400" s="69">
        <v>44724</v>
      </c>
      <c r="I400" s="88">
        <v>0.39</v>
      </c>
      <c r="J400" s="58">
        <v>1379070.5</v>
      </c>
    </row>
    <row r="401" spans="1:10" ht="15">
      <c r="A401" s="58" t="s">
        <v>747</v>
      </c>
      <c r="B401" s="58" t="s">
        <v>792</v>
      </c>
      <c r="C401" s="58" t="s">
        <v>807</v>
      </c>
      <c r="D401" s="58" t="s">
        <v>800</v>
      </c>
      <c r="E401" s="58">
        <v>1300919</v>
      </c>
      <c r="F401" s="58">
        <v>73</v>
      </c>
      <c r="G401" s="58">
        <v>37514</v>
      </c>
      <c r="H401" s="69">
        <v>45340</v>
      </c>
      <c r="I401" s="88">
        <v>0.4</v>
      </c>
      <c r="J401" s="58">
        <v>161088</v>
      </c>
    </row>
    <row r="402" spans="1:10" ht="15">
      <c r="A402" s="58" t="s">
        <v>749</v>
      </c>
      <c r="B402" s="58" t="s">
        <v>787</v>
      </c>
      <c r="C402" s="58" t="s">
        <v>799</v>
      </c>
      <c r="D402" s="58" t="s">
        <v>812</v>
      </c>
      <c r="E402" s="58">
        <v>1784771</v>
      </c>
      <c r="F402" s="58">
        <v>56</v>
      </c>
      <c r="G402" s="58">
        <v>71553</v>
      </c>
      <c r="H402" s="69">
        <v>45200</v>
      </c>
      <c r="I402" s="88">
        <v>0.25</v>
      </c>
      <c r="J402" s="58">
        <v>3147610.72</v>
      </c>
    </row>
    <row r="403" spans="1:10" ht="15">
      <c r="A403" s="58" t="s">
        <v>743</v>
      </c>
      <c r="B403" s="58" t="s">
        <v>808</v>
      </c>
      <c r="C403" s="58" t="s">
        <v>788</v>
      </c>
      <c r="D403" s="58" t="s">
        <v>811</v>
      </c>
      <c r="E403" s="58">
        <v>3559409</v>
      </c>
      <c r="F403" s="58">
        <v>9</v>
      </c>
      <c r="G403" s="58">
        <v>497114</v>
      </c>
      <c r="H403" s="69">
        <v>45161</v>
      </c>
      <c r="I403" s="88">
        <v>0.39</v>
      </c>
      <c r="J403" s="58">
        <v>2299937.7599999998</v>
      </c>
    </row>
    <row r="404" spans="1:10" ht="15">
      <c r="A404" s="58" t="s">
        <v>740</v>
      </c>
      <c r="B404" s="58" t="s">
        <v>808</v>
      </c>
      <c r="C404" s="58" t="s">
        <v>795</v>
      </c>
      <c r="D404" s="58" t="s">
        <v>803</v>
      </c>
      <c r="E404" s="58">
        <v>4846328</v>
      </c>
      <c r="F404" s="58">
        <v>38</v>
      </c>
      <c r="G404" s="58">
        <v>277013</v>
      </c>
      <c r="H404" s="69">
        <v>44623</v>
      </c>
      <c r="I404" s="88">
        <v>0.17</v>
      </c>
      <c r="J404" s="58">
        <v>2490723.2000000002</v>
      </c>
    </row>
    <row r="405" spans="1:10" ht="15">
      <c r="A405" s="58" t="s">
        <v>749</v>
      </c>
      <c r="B405" s="58" t="s">
        <v>797</v>
      </c>
      <c r="C405" s="58" t="s">
        <v>809</v>
      </c>
      <c r="D405" s="58" t="s">
        <v>803</v>
      </c>
      <c r="E405" s="58">
        <v>1171669</v>
      </c>
      <c r="F405" s="58">
        <v>32</v>
      </c>
      <c r="G405" s="58">
        <v>303492</v>
      </c>
      <c r="H405" s="69">
        <v>45292</v>
      </c>
      <c r="I405" s="88">
        <v>0.18</v>
      </c>
      <c r="J405" s="58">
        <v>3449165.4</v>
      </c>
    </row>
    <row r="406" spans="1:10" ht="15">
      <c r="A406" s="58" t="s">
        <v>743</v>
      </c>
      <c r="B406" s="58" t="s">
        <v>787</v>
      </c>
      <c r="C406" s="58" t="s">
        <v>788</v>
      </c>
      <c r="D406" s="58" t="s">
        <v>789</v>
      </c>
      <c r="E406" s="58">
        <v>3061892</v>
      </c>
      <c r="F406" s="58">
        <v>9</v>
      </c>
      <c r="G406" s="58">
        <v>448335</v>
      </c>
      <c r="H406" s="69">
        <v>45408</v>
      </c>
      <c r="I406" s="88">
        <v>0.41</v>
      </c>
      <c r="J406" s="58">
        <v>572004</v>
      </c>
    </row>
    <row r="407" spans="1:10" ht="15">
      <c r="A407" s="58" t="s">
        <v>742</v>
      </c>
      <c r="B407" s="58" t="s">
        <v>792</v>
      </c>
      <c r="C407" s="58" t="s">
        <v>807</v>
      </c>
      <c r="D407" s="58" t="s">
        <v>812</v>
      </c>
      <c r="E407" s="58">
        <v>4950050</v>
      </c>
      <c r="F407" s="58">
        <v>53</v>
      </c>
      <c r="G407" s="58">
        <v>122943</v>
      </c>
      <c r="H407" s="69">
        <v>45080</v>
      </c>
      <c r="I407" s="88">
        <v>0.03</v>
      </c>
      <c r="J407" s="58">
        <v>1426236.9</v>
      </c>
    </row>
    <row r="408" spans="1:10" ht="15">
      <c r="A408" s="58" t="s">
        <v>747</v>
      </c>
      <c r="B408" s="58" t="s">
        <v>808</v>
      </c>
      <c r="C408" s="58" t="s">
        <v>793</v>
      </c>
      <c r="D408" s="58" t="s">
        <v>812</v>
      </c>
      <c r="E408" s="58">
        <v>336413</v>
      </c>
      <c r="F408" s="58">
        <v>34</v>
      </c>
      <c r="G408" s="58">
        <v>322004</v>
      </c>
      <c r="H408" s="69">
        <v>45019</v>
      </c>
      <c r="I408" s="88">
        <v>0.26</v>
      </c>
      <c r="J408" s="58">
        <v>407099.1</v>
      </c>
    </row>
    <row r="409" spans="1:10" ht="15">
      <c r="A409" s="58" t="s">
        <v>748</v>
      </c>
      <c r="B409" s="58" t="s">
        <v>792</v>
      </c>
      <c r="C409" s="58" t="s">
        <v>788</v>
      </c>
      <c r="D409" s="58" t="s">
        <v>789</v>
      </c>
      <c r="E409" s="58">
        <v>2620778</v>
      </c>
      <c r="F409" s="58">
        <v>14</v>
      </c>
      <c r="G409" s="58">
        <v>254155</v>
      </c>
      <c r="H409" s="69">
        <v>44624</v>
      </c>
      <c r="I409" s="88">
        <v>0.04</v>
      </c>
      <c r="J409" s="58">
        <v>2568418.2000000002</v>
      </c>
    </row>
    <row r="410" spans="1:10" ht="15">
      <c r="A410" s="58" t="s">
        <v>740</v>
      </c>
      <c r="B410" s="58" t="s">
        <v>814</v>
      </c>
      <c r="C410" s="58" t="s">
        <v>809</v>
      </c>
      <c r="D410" s="58" t="s">
        <v>800</v>
      </c>
      <c r="E410" s="58">
        <v>4395598</v>
      </c>
      <c r="F410" s="58">
        <v>66</v>
      </c>
      <c r="G410" s="58">
        <v>499429</v>
      </c>
      <c r="H410" s="69">
        <v>45588</v>
      </c>
      <c r="I410" s="88">
        <v>0.01</v>
      </c>
      <c r="J410" s="58">
        <v>1779583.68</v>
      </c>
    </row>
    <row r="411" spans="1:10" ht="15">
      <c r="A411" s="58" t="s">
        <v>743</v>
      </c>
      <c r="B411" s="58" t="s">
        <v>804</v>
      </c>
      <c r="C411" s="58" t="s">
        <v>795</v>
      </c>
      <c r="D411" s="58" t="s">
        <v>815</v>
      </c>
      <c r="E411" s="58">
        <v>3894271</v>
      </c>
      <c r="F411" s="58">
        <v>45</v>
      </c>
      <c r="G411" s="58">
        <v>15682</v>
      </c>
      <c r="H411" s="69">
        <v>45421</v>
      </c>
      <c r="I411" s="88">
        <v>0.4</v>
      </c>
      <c r="J411" s="58">
        <v>2768882.46</v>
      </c>
    </row>
    <row r="412" spans="1:10" ht="15">
      <c r="A412" s="58" t="s">
        <v>742</v>
      </c>
      <c r="B412" s="58" t="s">
        <v>814</v>
      </c>
      <c r="C412" s="58" t="s">
        <v>807</v>
      </c>
      <c r="D412" s="58" t="s">
        <v>801</v>
      </c>
      <c r="E412" s="58">
        <v>2781781</v>
      </c>
      <c r="F412" s="58">
        <v>86</v>
      </c>
      <c r="G412" s="58">
        <v>47575</v>
      </c>
      <c r="H412" s="69">
        <v>44722</v>
      </c>
      <c r="I412" s="88">
        <v>0.41</v>
      </c>
      <c r="J412" s="58">
        <v>1883027.63</v>
      </c>
    </row>
    <row r="413" spans="1:10" ht="15">
      <c r="A413" s="58" t="s">
        <v>744</v>
      </c>
      <c r="B413" s="58" t="s">
        <v>794</v>
      </c>
      <c r="C413" s="58" t="s">
        <v>799</v>
      </c>
      <c r="D413" s="58" t="s">
        <v>805</v>
      </c>
      <c r="E413" s="58">
        <v>3274235</v>
      </c>
      <c r="F413" s="58">
        <v>94</v>
      </c>
      <c r="G413" s="58">
        <v>311964</v>
      </c>
      <c r="H413" s="69">
        <v>44999</v>
      </c>
      <c r="I413" s="88">
        <v>0.24</v>
      </c>
      <c r="J413" s="58">
        <v>2580848</v>
      </c>
    </row>
    <row r="414" spans="1:10" ht="15">
      <c r="A414" s="58" t="s">
        <v>748</v>
      </c>
      <c r="B414" s="58" t="s">
        <v>797</v>
      </c>
      <c r="C414" s="58" t="s">
        <v>798</v>
      </c>
      <c r="D414" s="58" t="s">
        <v>805</v>
      </c>
      <c r="E414" s="58">
        <v>4892888</v>
      </c>
      <c r="F414" s="58">
        <v>22</v>
      </c>
      <c r="G414" s="58">
        <v>80823</v>
      </c>
      <c r="H414" s="69">
        <v>44951</v>
      </c>
      <c r="I414" s="88">
        <v>0.46</v>
      </c>
      <c r="J414" s="58">
        <v>1513268.46</v>
      </c>
    </row>
    <row r="415" spans="1:10" ht="15">
      <c r="A415" s="58" t="s">
        <v>744</v>
      </c>
      <c r="B415" s="58" t="s">
        <v>804</v>
      </c>
      <c r="C415" s="58" t="s">
        <v>798</v>
      </c>
      <c r="D415" s="58" t="s">
        <v>796</v>
      </c>
      <c r="E415" s="58">
        <v>2768108</v>
      </c>
      <c r="F415" s="58">
        <v>53</v>
      </c>
      <c r="G415" s="58">
        <v>299894</v>
      </c>
      <c r="H415" s="69">
        <v>45444</v>
      </c>
      <c r="I415" s="88">
        <v>0.3</v>
      </c>
      <c r="J415" s="58">
        <v>2389628.2400000002</v>
      </c>
    </row>
    <row r="416" spans="1:10" ht="15">
      <c r="A416" s="58" t="s">
        <v>749</v>
      </c>
      <c r="B416" s="58" t="s">
        <v>808</v>
      </c>
      <c r="C416" s="58" t="s">
        <v>788</v>
      </c>
      <c r="D416" s="58" t="s">
        <v>796</v>
      </c>
      <c r="E416" s="58">
        <v>4998864</v>
      </c>
      <c r="F416" s="58">
        <v>97</v>
      </c>
      <c r="G416" s="58">
        <v>155150</v>
      </c>
      <c r="H416" s="69">
        <v>44965</v>
      </c>
      <c r="I416" s="88">
        <v>0.12</v>
      </c>
      <c r="J416" s="58">
        <v>444298.23</v>
      </c>
    </row>
    <row r="417" spans="1:10" ht="15">
      <c r="A417" s="58" t="s">
        <v>741</v>
      </c>
      <c r="B417" s="58" t="s">
        <v>792</v>
      </c>
      <c r="C417" s="58" t="s">
        <v>809</v>
      </c>
      <c r="D417" s="58" t="s">
        <v>812</v>
      </c>
      <c r="E417" s="58">
        <v>4355262</v>
      </c>
      <c r="F417" s="58">
        <v>46</v>
      </c>
      <c r="G417" s="58">
        <v>154094</v>
      </c>
      <c r="H417" s="69">
        <v>45392</v>
      </c>
      <c r="I417" s="88">
        <v>0.25</v>
      </c>
      <c r="J417" s="58">
        <v>581452.19999999995</v>
      </c>
    </row>
    <row r="418" spans="1:10" ht="15">
      <c r="A418" s="58" t="s">
        <v>746</v>
      </c>
      <c r="B418" s="58" t="s">
        <v>792</v>
      </c>
      <c r="C418" s="58" t="s">
        <v>793</v>
      </c>
      <c r="D418" s="58" t="s">
        <v>811</v>
      </c>
      <c r="E418" s="58">
        <v>2178885</v>
      </c>
      <c r="F418" s="58">
        <v>47</v>
      </c>
      <c r="G418" s="58">
        <v>464162</v>
      </c>
      <c r="H418" s="69">
        <v>44570</v>
      </c>
      <c r="I418" s="88">
        <v>0.46</v>
      </c>
      <c r="J418" s="58">
        <v>2572062.2000000002</v>
      </c>
    </row>
    <row r="419" spans="1:10" ht="15">
      <c r="A419" s="58" t="s">
        <v>744</v>
      </c>
      <c r="B419" s="58" t="s">
        <v>792</v>
      </c>
      <c r="C419" s="58" t="s">
        <v>809</v>
      </c>
      <c r="D419" s="58" t="s">
        <v>812</v>
      </c>
      <c r="E419" s="58">
        <v>1356091</v>
      </c>
      <c r="F419" s="58">
        <v>31</v>
      </c>
      <c r="G419" s="58">
        <v>258938</v>
      </c>
      <c r="H419" s="69">
        <v>44824</v>
      </c>
      <c r="I419" s="88">
        <v>0.28000000000000003</v>
      </c>
      <c r="J419" s="58">
        <v>3654235.13</v>
      </c>
    </row>
    <row r="420" spans="1:10" ht="15">
      <c r="A420" s="58" t="s">
        <v>746</v>
      </c>
      <c r="B420" s="58" t="s">
        <v>814</v>
      </c>
      <c r="C420" s="58" t="s">
        <v>788</v>
      </c>
      <c r="D420" s="58" t="s">
        <v>803</v>
      </c>
      <c r="E420" s="58">
        <v>2587435</v>
      </c>
      <c r="F420" s="58">
        <v>59</v>
      </c>
      <c r="G420" s="58">
        <v>298348</v>
      </c>
      <c r="H420" s="69">
        <v>44856</v>
      </c>
      <c r="I420" s="88">
        <v>0.03</v>
      </c>
      <c r="J420" s="58">
        <v>4658526.04</v>
      </c>
    </row>
    <row r="421" spans="1:10" ht="15">
      <c r="A421" s="58" t="s">
        <v>741</v>
      </c>
      <c r="B421" s="58" t="s">
        <v>809</v>
      </c>
      <c r="C421" s="58" t="s">
        <v>807</v>
      </c>
      <c r="D421" s="58" t="s">
        <v>789</v>
      </c>
      <c r="E421" s="58">
        <v>430342</v>
      </c>
      <c r="F421" s="58">
        <v>19</v>
      </c>
      <c r="G421" s="58">
        <v>280809</v>
      </c>
      <c r="H421" s="69">
        <v>44679</v>
      </c>
      <c r="I421" s="88">
        <v>0.06</v>
      </c>
      <c r="J421" s="58">
        <v>211945.92</v>
      </c>
    </row>
    <row r="422" spans="1:10" ht="15">
      <c r="A422" s="58" t="s">
        <v>742</v>
      </c>
      <c r="B422" s="58" t="s">
        <v>809</v>
      </c>
      <c r="C422" s="58" t="s">
        <v>793</v>
      </c>
      <c r="D422" s="58" t="s">
        <v>805</v>
      </c>
      <c r="E422" s="58">
        <v>559890</v>
      </c>
      <c r="F422" s="58">
        <v>42</v>
      </c>
      <c r="G422" s="58">
        <v>111030</v>
      </c>
      <c r="H422" s="69">
        <v>45203</v>
      </c>
      <c r="I422" s="88">
        <v>0.15</v>
      </c>
      <c r="J422" s="58">
        <v>1222411</v>
      </c>
    </row>
    <row r="423" spans="1:10" ht="15">
      <c r="A423" s="58" t="s">
        <v>743</v>
      </c>
      <c r="B423" s="58" t="s">
        <v>808</v>
      </c>
      <c r="C423" s="58" t="s">
        <v>799</v>
      </c>
      <c r="D423" s="58" t="s">
        <v>800</v>
      </c>
      <c r="E423" s="58">
        <v>320859</v>
      </c>
      <c r="F423" s="58">
        <v>73</v>
      </c>
      <c r="G423" s="58">
        <v>282962</v>
      </c>
      <c r="H423" s="69">
        <v>45296</v>
      </c>
      <c r="I423" s="88">
        <v>0.39</v>
      </c>
      <c r="J423" s="58">
        <v>3025361.98</v>
      </c>
    </row>
    <row r="424" spans="1:10" ht="15">
      <c r="A424" s="58" t="s">
        <v>741</v>
      </c>
      <c r="B424" s="58" t="s">
        <v>808</v>
      </c>
      <c r="C424" s="58" t="s">
        <v>807</v>
      </c>
      <c r="D424" s="58" t="s">
        <v>803</v>
      </c>
      <c r="E424" s="58">
        <v>1017166</v>
      </c>
      <c r="F424" s="58">
        <v>7</v>
      </c>
      <c r="G424" s="58">
        <v>482751</v>
      </c>
      <c r="H424" s="69">
        <v>45453</v>
      </c>
      <c r="I424" s="88">
        <v>0.21</v>
      </c>
      <c r="J424" s="58">
        <v>2999627.25</v>
      </c>
    </row>
    <row r="425" spans="1:10" ht="15">
      <c r="A425" s="58" t="s">
        <v>741</v>
      </c>
      <c r="B425" s="58" t="s">
        <v>790</v>
      </c>
      <c r="C425" s="58" t="s">
        <v>809</v>
      </c>
      <c r="D425" s="58" t="s">
        <v>800</v>
      </c>
      <c r="E425" s="58">
        <v>4155592</v>
      </c>
      <c r="F425" s="58">
        <v>83</v>
      </c>
      <c r="G425" s="58">
        <v>58302</v>
      </c>
      <c r="H425" s="69">
        <v>44743</v>
      </c>
      <c r="I425" s="88">
        <v>0.24</v>
      </c>
      <c r="J425" s="58">
        <v>4366400.78</v>
      </c>
    </row>
    <row r="426" spans="1:10" ht="15">
      <c r="A426" s="58" t="s">
        <v>747</v>
      </c>
      <c r="B426" s="58" t="s">
        <v>790</v>
      </c>
      <c r="C426" s="58" t="s">
        <v>807</v>
      </c>
      <c r="D426" s="58" t="s">
        <v>800</v>
      </c>
      <c r="E426" s="58">
        <v>404000</v>
      </c>
      <c r="F426" s="58">
        <v>74</v>
      </c>
      <c r="G426" s="58">
        <v>188483</v>
      </c>
      <c r="H426" s="69">
        <v>45237</v>
      </c>
      <c r="I426" s="88">
        <v>0.27</v>
      </c>
      <c r="J426" s="58">
        <v>1005601.48</v>
      </c>
    </row>
    <row r="427" spans="1:10" ht="15">
      <c r="A427" s="58" t="s">
        <v>746</v>
      </c>
      <c r="B427" s="58" t="s">
        <v>787</v>
      </c>
      <c r="C427" s="58" t="s">
        <v>795</v>
      </c>
      <c r="D427" s="58" t="s">
        <v>813</v>
      </c>
      <c r="E427" s="58">
        <v>3700626</v>
      </c>
      <c r="F427" s="58">
        <v>49</v>
      </c>
      <c r="G427" s="58">
        <v>148450</v>
      </c>
      <c r="H427" s="69">
        <v>44776</v>
      </c>
      <c r="I427" s="88">
        <v>0.4</v>
      </c>
      <c r="J427" s="58">
        <v>985456.29</v>
      </c>
    </row>
    <row r="428" spans="1:10" ht="15">
      <c r="A428" s="58" t="s">
        <v>745</v>
      </c>
      <c r="B428" s="58" t="s">
        <v>814</v>
      </c>
      <c r="C428" s="58" t="s">
        <v>788</v>
      </c>
      <c r="D428" s="58" t="s">
        <v>805</v>
      </c>
      <c r="E428" s="58">
        <v>2114743</v>
      </c>
      <c r="F428" s="58">
        <v>86</v>
      </c>
      <c r="G428" s="58">
        <v>492727</v>
      </c>
      <c r="H428" s="69">
        <v>45225</v>
      </c>
      <c r="I428" s="88">
        <v>0.13</v>
      </c>
      <c r="J428" s="58">
        <v>706734.6</v>
      </c>
    </row>
    <row r="429" spans="1:10" ht="15">
      <c r="A429" s="58" t="s">
        <v>741</v>
      </c>
      <c r="B429" s="58" t="s">
        <v>809</v>
      </c>
      <c r="C429" s="58" t="s">
        <v>809</v>
      </c>
      <c r="D429" s="58" t="s">
        <v>810</v>
      </c>
      <c r="E429" s="58">
        <v>1869975</v>
      </c>
      <c r="F429" s="58">
        <v>36</v>
      </c>
      <c r="G429" s="58">
        <v>462523</v>
      </c>
      <c r="H429" s="69">
        <v>45572</v>
      </c>
      <c r="I429" s="88">
        <v>0.16</v>
      </c>
      <c r="J429" s="58">
        <v>268834.56</v>
      </c>
    </row>
    <row r="430" spans="1:10" ht="15">
      <c r="A430" s="58" t="s">
        <v>745</v>
      </c>
      <c r="B430" s="58" t="s">
        <v>792</v>
      </c>
      <c r="C430" s="58" t="s">
        <v>809</v>
      </c>
      <c r="D430" s="58" t="s">
        <v>813</v>
      </c>
      <c r="E430" s="58">
        <v>2100727</v>
      </c>
      <c r="F430" s="58">
        <v>69</v>
      </c>
      <c r="G430" s="58">
        <v>254134</v>
      </c>
      <c r="H430" s="69">
        <v>44754</v>
      </c>
      <c r="I430" s="88">
        <v>0.47</v>
      </c>
      <c r="J430" s="58">
        <v>412530.03</v>
      </c>
    </row>
    <row r="431" spans="1:10" ht="15">
      <c r="A431" s="58" t="s">
        <v>747</v>
      </c>
      <c r="B431" s="58" t="s">
        <v>797</v>
      </c>
      <c r="C431" s="58" t="s">
        <v>807</v>
      </c>
      <c r="D431" s="58" t="s">
        <v>796</v>
      </c>
      <c r="E431" s="58">
        <v>3843048</v>
      </c>
      <c r="F431" s="58">
        <v>11</v>
      </c>
      <c r="G431" s="58">
        <v>133400</v>
      </c>
      <c r="H431" s="69">
        <v>44909</v>
      </c>
      <c r="I431" s="88">
        <v>0.41</v>
      </c>
      <c r="J431" s="58">
        <v>157448.12</v>
      </c>
    </row>
    <row r="432" spans="1:10" ht="15">
      <c r="A432" s="58" t="s">
        <v>742</v>
      </c>
      <c r="B432" s="58" t="s">
        <v>809</v>
      </c>
      <c r="C432" s="58" t="s">
        <v>798</v>
      </c>
      <c r="D432" s="58" t="s">
        <v>800</v>
      </c>
      <c r="E432" s="58">
        <v>581968</v>
      </c>
      <c r="F432" s="58">
        <v>34</v>
      </c>
      <c r="G432" s="58">
        <v>484772</v>
      </c>
      <c r="H432" s="69">
        <v>45524</v>
      </c>
      <c r="I432" s="88">
        <v>0.06</v>
      </c>
      <c r="J432" s="58">
        <v>994590.21</v>
      </c>
    </row>
    <row r="433" spans="1:10" ht="15">
      <c r="A433" s="58" t="s">
        <v>748</v>
      </c>
      <c r="B433" s="58" t="s">
        <v>792</v>
      </c>
      <c r="C433" s="58" t="s">
        <v>788</v>
      </c>
      <c r="D433" s="58" t="s">
        <v>796</v>
      </c>
      <c r="E433" s="58">
        <v>4337794</v>
      </c>
      <c r="F433" s="58">
        <v>78</v>
      </c>
      <c r="G433" s="58">
        <v>344584</v>
      </c>
      <c r="H433" s="69">
        <v>45474</v>
      </c>
      <c r="I433" s="88">
        <v>0.1</v>
      </c>
      <c r="J433" s="58">
        <v>2675842.4700000002</v>
      </c>
    </row>
    <row r="434" spans="1:10" ht="15">
      <c r="A434" s="58" t="s">
        <v>746</v>
      </c>
      <c r="B434" s="58" t="s">
        <v>808</v>
      </c>
      <c r="C434" s="58" t="s">
        <v>788</v>
      </c>
      <c r="D434" s="58" t="s">
        <v>791</v>
      </c>
      <c r="E434" s="58">
        <v>4396047</v>
      </c>
      <c r="F434" s="58">
        <v>32</v>
      </c>
      <c r="G434" s="58">
        <v>253445</v>
      </c>
      <c r="H434" s="69">
        <v>44683</v>
      </c>
      <c r="I434" s="88">
        <v>0.28000000000000003</v>
      </c>
      <c r="J434" s="58">
        <v>1370679.24</v>
      </c>
    </row>
    <row r="435" spans="1:10" ht="15">
      <c r="A435" s="58" t="s">
        <v>746</v>
      </c>
      <c r="B435" s="58" t="s">
        <v>790</v>
      </c>
      <c r="C435" s="58" t="s">
        <v>799</v>
      </c>
      <c r="D435" s="58" t="s">
        <v>812</v>
      </c>
      <c r="E435" s="58">
        <v>4411245</v>
      </c>
      <c r="F435" s="58">
        <v>5</v>
      </c>
      <c r="G435" s="58">
        <v>226806</v>
      </c>
      <c r="H435" s="69">
        <v>45134</v>
      </c>
      <c r="I435" s="88">
        <v>0.13</v>
      </c>
      <c r="J435" s="58">
        <v>2444233.5499999998</v>
      </c>
    </row>
    <row r="436" spans="1:10" ht="15">
      <c r="A436" s="58" t="s">
        <v>740</v>
      </c>
      <c r="B436" s="58" t="s">
        <v>804</v>
      </c>
      <c r="C436" s="58" t="s">
        <v>793</v>
      </c>
      <c r="D436" s="58" t="s">
        <v>811</v>
      </c>
      <c r="E436" s="58">
        <v>1794977</v>
      </c>
      <c r="F436" s="58">
        <v>24</v>
      </c>
      <c r="G436" s="58">
        <v>313706</v>
      </c>
      <c r="H436" s="69">
        <v>44885</v>
      </c>
      <c r="I436" s="88">
        <v>0.44</v>
      </c>
      <c r="J436" s="58">
        <v>2343036.08</v>
      </c>
    </row>
    <row r="437" spans="1:10" ht="15">
      <c r="A437" s="58" t="s">
        <v>740</v>
      </c>
      <c r="B437" s="58" t="s">
        <v>790</v>
      </c>
      <c r="C437" s="58" t="s">
        <v>793</v>
      </c>
      <c r="D437" s="58" t="s">
        <v>791</v>
      </c>
      <c r="E437" s="58">
        <v>4829894</v>
      </c>
      <c r="F437" s="58">
        <v>39</v>
      </c>
      <c r="G437" s="58">
        <v>409049</v>
      </c>
      <c r="H437" s="69">
        <v>45613</v>
      </c>
      <c r="I437" s="88">
        <v>0.19</v>
      </c>
      <c r="J437" s="58">
        <v>3815480.76</v>
      </c>
    </row>
    <row r="438" spans="1:10" ht="15">
      <c r="A438" s="58" t="s">
        <v>749</v>
      </c>
      <c r="B438" s="58" t="s">
        <v>814</v>
      </c>
      <c r="C438" s="58" t="s">
        <v>793</v>
      </c>
      <c r="D438" s="58" t="s">
        <v>806</v>
      </c>
      <c r="E438" s="58">
        <v>3839192</v>
      </c>
      <c r="F438" s="58">
        <v>67</v>
      </c>
      <c r="G438" s="58">
        <v>161264</v>
      </c>
      <c r="H438" s="69">
        <v>45458</v>
      </c>
      <c r="I438" s="88">
        <v>0.44</v>
      </c>
      <c r="J438" s="58">
        <v>1558862.8</v>
      </c>
    </row>
    <row r="439" spans="1:10" ht="15">
      <c r="A439" s="58" t="s">
        <v>740</v>
      </c>
      <c r="B439" s="58" t="s">
        <v>808</v>
      </c>
      <c r="C439" s="58" t="s">
        <v>795</v>
      </c>
      <c r="D439" s="58" t="s">
        <v>796</v>
      </c>
      <c r="E439" s="58">
        <v>4707171</v>
      </c>
      <c r="F439" s="58">
        <v>3</v>
      </c>
      <c r="G439" s="58">
        <v>239902</v>
      </c>
      <c r="H439" s="69">
        <v>45541</v>
      </c>
      <c r="I439" s="88">
        <v>0.19</v>
      </c>
      <c r="J439" s="58">
        <v>3149544.06</v>
      </c>
    </row>
    <row r="440" spans="1:10" ht="15">
      <c r="A440" s="58" t="s">
        <v>741</v>
      </c>
      <c r="B440" s="58" t="s">
        <v>792</v>
      </c>
      <c r="C440" s="58" t="s">
        <v>809</v>
      </c>
      <c r="D440" s="58" t="s">
        <v>791</v>
      </c>
      <c r="E440" s="58">
        <v>3454885</v>
      </c>
      <c r="F440" s="58">
        <v>95</v>
      </c>
      <c r="G440" s="58">
        <v>235339</v>
      </c>
      <c r="H440" s="69">
        <v>44831</v>
      </c>
      <c r="I440" s="88">
        <v>0.46</v>
      </c>
      <c r="J440" s="58">
        <v>1223030.3999999999</v>
      </c>
    </row>
    <row r="441" spans="1:10" ht="15">
      <c r="A441" s="58" t="s">
        <v>743</v>
      </c>
      <c r="B441" s="58" t="s">
        <v>802</v>
      </c>
      <c r="C441" s="58" t="s">
        <v>793</v>
      </c>
      <c r="D441" s="58" t="s">
        <v>805</v>
      </c>
      <c r="E441" s="58">
        <v>4624233</v>
      </c>
      <c r="F441" s="58">
        <v>3</v>
      </c>
      <c r="G441" s="58">
        <v>408800</v>
      </c>
      <c r="H441" s="69">
        <v>45053</v>
      </c>
      <c r="I441" s="88">
        <v>0.14000000000000001</v>
      </c>
      <c r="J441" s="58">
        <v>1764291.07</v>
      </c>
    </row>
    <row r="442" spans="1:10" ht="15">
      <c r="A442" s="58" t="s">
        <v>748</v>
      </c>
      <c r="B442" s="58" t="s">
        <v>802</v>
      </c>
      <c r="C442" s="58" t="s">
        <v>809</v>
      </c>
      <c r="D442" s="58" t="s">
        <v>806</v>
      </c>
      <c r="E442" s="58">
        <v>4454400</v>
      </c>
      <c r="F442" s="58">
        <v>38</v>
      </c>
      <c r="G442" s="58">
        <v>487418</v>
      </c>
      <c r="H442" s="69">
        <v>45614</v>
      </c>
      <c r="I442" s="88">
        <v>0.44</v>
      </c>
      <c r="J442" s="58">
        <v>820391.44</v>
      </c>
    </row>
    <row r="443" spans="1:10" ht="15">
      <c r="A443" s="58" t="s">
        <v>741</v>
      </c>
      <c r="B443" s="58" t="s">
        <v>808</v>
      </c>
      <c r="C443" s="58" t="s">
        <v>793</v>
      </c>
      <c r="D443" s="58" t="s">
        <v>810</v>
      </c>
      <c r="E443" s="58">
        <v>1810705</v>
      </c>
      <c r="F443" s="58">
        <v>97</v>
      </c>
      <c r="G443" s="58">
        <v>390103</v>
      </c>
      <c r="H443" s="69">
        <v>45432</v>
      </c>
      <c r="I443" s="88">
        <v>0.33</v>
      </c>
      <c r="J443" s="58">
        <v>1328997.8500000001</v>
      </c>
    </row>
    <row r="444" spans="1:10" ht="15">
      <c r="A444" s="58" t="s">
        <v>747</v>
      </c>
      <c r="B444" s="58" t="s">
        <v>802</v>
      </c>
      <c r="C444" s="58" t="s">
        <v>807</v>
      </c>
      <c r="D444" s="58" t="s">
        <v>810</v>
      </c>
      <c r="E444" s="58">
        <v>3154142</v>
      </c>
      <c r="F444" s="58">
        <v>54</v>
      </c>
      <c r="G444" s="58">
        <v>210350</v>
      </c>
      <c r="H444" s="69">
        <v>45188</v>
      </c>
      <c r="I444" s="88">
        <v>0.36</v>
      </c>
      <c r="J444" s="58">
        <v>1081429.1100000001</v>
      </c>
    </row>
    <row r="445" spans="1:10" ht="15">
      <c r="A445" s="58" t="s">
        <v>740</v>
      </c>
      <c r="B445" s="58" t="s">
        <v>792</v>
      </c>
      <c r="C445" s="58" t="s">
        <v>798</v>
      </c>
      <c r="D445" s="58" t="s">
        <v>803</v>
      </c>
      <c r="E445" s="58">
        <v>2506799</v>
      </c>
      <c r="F445" s="58">
        <v>37</v>
      </c>
      <c r="G445" s="58">
        <v>471768</v>
      </c>
      <c r="H445" s="69">
        <v>44562</v>
      </c>
      <c r="I445" s="88">
        <v>0.01</v>
      </c>
      <c r="J445" s="58">
        <v>2355413.64</v>
      </c>
    </row>
    <row r="446" spans="1:10" ht="15">
      <c r="A446" s="58" t="s">
        <v>743</v>
      </c>
      <c r="B446" s="58" t="s">
        <v>814</v>
      </c>
      <c r="C446" s="58" t="s">
        <v>795</v>
      </c>
      <c r="D446" s="58" t="s">
        <v>801</v>
      </c>
      <c r="E446" s="58">
        <v>4566231</v>
      </c>
      <c r="F446" s="58">
        <v>83</v>
      </c>
      <c r="G446" s="58">
        <v>251414</v>
      </c>
      <c r="H446" s="69">
        <v>45174</v>
      </c>
      <c r="I446" s="88">
        <v>0.31</v>
      </c>
      <c r="J446" s="58">
        <v>1707321</v>
      </c>
    </row>
    <row r="447" spans="1:10" ht="15">
      <c r="A447" s="58" t="s">
        <v>742</v>
      </c>
      <c r="B447" s="58" t="s">
        <v>804</v>
      </c>
      <c r="C447" s="58" t="s">
        <v>793</v>
      </c>
      <c r="D447" s="58" t="s">
        <v>813</v>
      </c>
      <c r="E447" s="58">
        <v>1131171</v>
      </c>
      <c r="F447" s="58">
        <v>89</v>
      </c>
      <c r="G447" s="58">
        <v>295566</v>
      </c>
      <c r="H447" s="69">
        <v>45374</v>
      </c>
      <c r="I447" s="88">
        <v>0.11</v>
      </c>
      <c r="J447" s="58">
        <v>125974.17</v>
      </c>
    </row>
    <row r="448" spans="1:10" ht="15">
      <c r="A448" s="58" t="s">
        <v>742</v>
      </c>
      <c r="B448" s="58" t="s">
        <v>787</v>
      </c>
      <c r="C448" s="58" t="s">
        <v>799</v>
      </c>
      <c r="D448" s="58" t="s">
        <v>796</v>
      </c>
      <c r="E448" s="58">
        <v>46030</v>
      </c>
      <c r="F448" s="58">
        <v>41</v>
      </c>
      <c r="G448" s="58">
        <v>369016</v>
      </c>
      <c r="H448" s="69">
        <v>45113</v>
      </c>
      <c r="I448" s="88">
        <v>0.08</v>
      </c>
      <c r="J448" s="58">
        <v>1654447.68</v>
      </c>
    </row>
    <row r="449" spans="1:10" ht="15">
      <c r="A449" s="58" t="s">
        <v>746</v>
      </c>
      <c r="B449" s="58" t="s">
        <v>809</v>
      </c>
      <c r="C449" s="58" t="s">
        <v>795</v>
      </c>
      <c r="D449" s="58" t="s">
        <v>805</v>
      </c>
      <c r="E449" s="58">
        <v>1769440</v>
      </c>
      <c r="F449" s="58">
        <v>73</v>
      </c>
      <c r="G449" s="58">
        <v>247245</v>
      </c>
      <c r="H449" s="69">
        <v>45613</v>
      </c>
      <c r="I449" s="88">
        <v>0.05</v>
      </c>
      <c r="J449" s="58">
        <v>2015502.3</v>
      </c>
    </row>
    <row r="450" spans="1:10" ht="15">
      <c r="A450" s="58" t="s">
        <v>743</v>
      </c>
      <c r="B450" s="58" t="s">
        <v>814</v>
      </c>
      <c r="C450" s="58" t="s">
        <v>798</v>
      </c>
      <c r="D450" s="58" t="s">
        <v>813</v>
      </c>
      <c r="E450" s="58">
        <v>3093717</v>
      </c>
      <c r="F450" s="58">
        <v>73</v>
      </c>
      <c r="G450" s="58">
        <v>170823</v>
      </c>
      <c r="H450" s="69">
        <v>45561</v>
      </c>
      <c r="I450" s="88">
        <v>0.22</v>
      </c>
      <c r="J450" s="58">
        <v>1981394.87</v>
      </c>
    </row>
    <row r="451" spans="1:10" ht="15">
      <c r="A451" s="58" t="s">
        <v>747</v>
      </c>
      <c r="B451" s="58" t="s">
        <v>792</v>
      </c>
      <c r="C451" s="58" t="s">
        <v>788</v>
      </c>
      <c r="D451" s="58" t="s">
        <v>812</v>
      </c>
      <c r="E451" s="58">
        <v>3122957</v>
      </c>
      <c r="F451" s="58">
        <v>58</v>
      </c>
      <c r="G451" s="58">
        <v>31569</v>
      </c>
      <c r="H451" s="69">
        <v>45053</v>
      </c>
      <c r="I451" s="88">
        <v>0.31</v>
      </c>
      <c r="J451" s="58">
        <v>1007617.02</v>
      </c>
    </row>
    <row r="452" spans="1:10" ht="15">
      <c r="A452" s="58" t="s">
        <v>742</v>
      </c>
      <c r="B452" s="58" t="s">
        <v>809</v>
      </c>
      <c r="C452" s="58" t="s">
        <v>809</v>
      </c>
      <c r="D452" s="58" t="s">
        <v>801</v>
      </c>
      <c r="E452" s="58">
        <v>952928</v>
      </c>
      <c r="F452" s="58">
        <v>8</v>
      </c>
      <c r="G452" s="58">
        <v>338761</v>
      </c>
      <c r="H452" s="69">
        <v>45130</v>
      </c>
      <c r="I452" s="88">
        <v>0.23</v>
      </c>
      <c r="J452" s="58">
        <v>3262223.97</v>
      </c>
    </row>
    <row r="453" spans="1:10" ht="15">
      <c r="A453" s="58" t="s">
        <v>749</v>
      </c>
      <c r="B453" s="58" t="s">
        <v>794</v>
      </c>
      <c r="C453" s="58" t="s">
        <v>798</v>
      </c>
      <c r="D453" s="58" t="s">
        <v>811</v>
      </c>
      <c r="E453" s="58">
        <v>2188659</v>
      </c>
      <c r="F453" s="58">
        <v>4</v>
      </c>
      <c r="G453" s="58">
        <v>34340</v>
      </c>
      <c r="H453" s="69">
        <v>44936</v>
      </c>
      <c r="I453" s="88">
        <v>0.31</v>
      </c>
      <c r="J453" s="58">
        <v>2387361.6</v>
      </c>
    </row>
    <row r="454" spans="1:10" ht="15">
      <c r="A454" s="58" t="s">
        <v>743</v>
      </c>
      <c r="B454" s="58" t="s">
        <v>787</v>
      </c>
      <c r="C454" s="58" t="s">
        <v>798</v>
      </c>
      <c r="D454" s="58" t="s">
        <v>796</v>
      </c>
      <c r="E454" s="58">
        <v>149742</v>
      </c>
      <c r="F454" s="58">
        <v>37</v>
      </c>
      <c r="G454" s="58">
        <v>189398</v>
      </c>
      <c r="H454" s="69">
        <v>44760</v>
      </c>
      <c r="I454" s="88">
        <v>0.26</v>
      </c>
      <c r="J454" s="58">
        <v>2326398.56</v>
      </c>
    </row>
    <row r="455" spans="1:10" ht="15">
      <c r="A455" s="58" t="s">
        <v>746</v>
      </c>
      <c r="B455" s="58" t="s">
        <v>802</v>
      </c>
      <c r="C455" s="58" t="s">
        <v>809</v>
      </c>
      <c r="D455" s="58" t="s">
        <v>803</v>
      </c>
      <c r="E455" s="58">
        <v>2961861</v>
      </c>
      <c r="F455" s="58">
        <v>46</v>
      </c>
      <c r="G455" s="58">
        <v>99329</v>
      </c>
      <c r="H455" s="69">
        <v>45447</v>
      </c>
      <c r="I455" s="88">
        <v>0.04</v>
      </c>
      <c r="J455" s="58">
        <v>2309505.48</v>
      </c>
    </row>
    <row r="456" spans="1:10" ht="15">
      <c r="A456" s="58" t="s">
        <v>744</v>
      </c>
      <c r="B456" s="58" t="s">
        <v>814</v>
      </c>
      <c r="C456" s="58" t="s">
        <v>795</v>
      </c>
      <c r="D456" s="58" t="s">
        <v>813</v>
      </c>
      <c r="E456" s="58">
        <v>74031</v>
      </c>
      <c r="F456" s="58">
        <v>34</v>
      </c>
      <c r="G456" s="58">
        <v>98493</v>
      </c>
      <c r="H456" s="69">
        <v>44985</v>
      </c>
      <c r="I456" s="88">
        <v>0.31</v>
      </c>
      <c r="J456" s="58">
        <v>1104210.3799999999</v>
      </c>
    </row>
    <row r="457" spans="1:10" ht="15">
      <c r="A457" s="58" t="s">
        <v>742</v>
      </c>
      <c r="B457" s="58" t="s">
        <v>797</v>
      </c>
      <c r="C457" s="58" t="s">
        <v>788</v>
      </c>
      <c r="D457" s="58" t="s">
        <v>811</v>
      </c>
      <c r="E457" s="58">
        <v>4740844</v>
      </c>
      <c r="F457" s="58">
        <v>43</v>
      </c>
      <c r="G457" s="58">
        <v>130886</v>
      </c>
      <c r="H457" s="69">
        <v>44879</v>
      </c>
      <c r="I457" s="88">
        <v>0.02</v>
      </c>
      <c r="J457" s="58">
        <v>495469.22</v>
      </c>
    </row>
    <row r="458" spans="1:10" ht="15">
      <c r="A458" s="58" t="s">
        <v>748</v>
      </c>
      <c r="B458" s="58" t="s">
        <v>792</v>
      </c>
      <c r="C458" s="58" t="s">
        <v>793</v>
      </c>
      <c r="D458" s="58" t="s">
        <v>789</v>
      </c>
      <c r="E458" s="58">
        <v>3551747</v>
      </c>
      <c r="F458" s="58">
        <v>85</v>
      </c>
      <c r="G458" s="58">
        <v>385070</v>
      </c>
      <c r="H458" s="69">
        <v>44596</v>
      </c>
      <c r="I458" s="88">
        <v>0.31</v>
      </c>
      <c r="J458" s="58">
        <v>3836306.04</v>
      </c>
    </row>
    <row r="459" spans="1:10" ht="15">
      <c r="A459" s="58" t="s">
        <v>744</v>
      </c>
      <c r="B459" s="58" t="s">
        <v>814</v>
      </c>
      <c r="C459" s="58" t="s">
        <v>799</v>
      </c>
      <c r="D459" s="58" t="s">
        <v>801</v>
      </c>
      <c r="E459" s="58">
        <v>3191882</v>
      </c>
      <c r="F459" s="58">
        <v>37</v>
      </c>
      <c r="G459" s="58">
        <v>236959</v>
      </c>
      <c r="H459" s="69">
        <v>45146</v>
      </c>
      <c r="I459" s="88">
        <v>0.08</v>
      </c>
      <c r="J459" s="58">
        <v>1954804.83</v>
      </c>
    </row>
    <row r="460" spans="1:10" ht="15">
      <c r="A460" s="58" t="s">
        <v>746</v>
      </c>
      <c r="B460" s="58" t="s">
        <v>802</v>
      </c>
      <c r="C460" s="58" t="s">
        <v>809</v>
      </c>
      <c r="D460" s="58" t="s">
        <v>815</v>
      </c>
      <c r="E460" s="58">
        <v>1937960</v>
      </c>
      <c r="F460" s="58">
        <v>90</v>
      </c>
      <c r="G460" s="58">
        <v>192141</v>
      </c>
      <c r="H460" s="69">
        <v>44826</v>
      </c>
      <c r="I460" s="88">
        <v>0.35</v>
      </c>
      <c r="J460" s="58">
        <v>665845.09</v>
      </c>
    </row>
    <row r="461" spans="1:10" ht="15">
      <c r="A461" s="58" t="s">
        <v>749</v>
      </c>
      <c r="B461" s="58" t="s">
        <v>802</v>
      </c>
      <c r="C461" s="58" t="s">
        <v>809</v>
      </c>
      <c r="D461" s="58" t="s">
        <v>815</v>
      </c>
      <c r="E461" s="58">
        <v>4489556</v>
      </c>
      <c r="F461" s="58">
        <v>1</v>
      </c>
      <c r="G461" s="58">
        <v>420364</v>
      </c>
      <c r="H461" s="69">
        <v>45417</v>
      </c>
      <c r="I461" s="88">
        <v>0.2</v>
      </c>
      <c r="J461" s="58">
        <v>1062097.6200000001</v>
      </c>
    </row>
    <row r="462" spans="1:10" ht="15">
      <c r="A462" s="58" t="s">
        <v>744</v>
      </c>
      <c r="B462" s="58" t="s">
        <v>808</v>
      </c>
      <c r="C462" s="58" t="s">
        <v>795</v>
      </c>
      <c r="D462" s="58" t="s">
        <v>801</v>
      </c>
      <c r="E462" s="58">
        <v>1335481</v>
      </c>
      <c r="F462" s="58">
        <v>99</v>
      </c>
      <c r="G462" s="58">
        <v>317578</v>
      </c>
      <c r="H462" s="69">
        <v>44690</v>
      </c>
      <c r="I462" s="88">
        <v>0.13</v>
      </c>
      <c r="J462" s="58">
        <v>3632753.75</v>
      </c>
    </row>
    <row r="463" spans="1:10" ht="15">
      <c r="A463" s="58" t="s">
        <v>749</v>
      </c>
      <c r="B463" s="58" t="s">
        <v>792</v>
      </c>
      <c r="C463" s="58" t="s">
        <v>788</v>
      </c>
      <c r="D463" s="58" t="s">
        <v>812</v>
      </c>
      <c r="E463" s="58">
        <v>4422279</v>
      </c>
      <c r="F463" s="58">
        <v>97</v>
      </c>
      <c r="G463" s="58">
        <v>9578</v>
      </c>
      <c r="H463" s="69">
        <v>45201</v>
      </c>
      <c r="I463" s="88">
        <v>0.06</v>
      </c>
      <c r="J463" s="58">
        <v>4372847.3</v>
      </c>
    </row>
    <row r="464" spans="1:10" ht="15">
      <c r="A464" s="58" t="s">
        <v>747</v>
      </c>
      <c r="B464" s="58" t="s">
        <v>804</v>
      </c>
      <c r="C464" s="58" t="s">
        <v>795</v>
      </c>
      <c r="D464" s="58" t="s">
        <v>805</v>
      </c>
      <c r="E464" s="58">
        <v>4150656</v>
      </c>
      <c r="F464" s="58">
        <v>37</v>
      </c>
      <c r="G464" s="58">
        <v>7897</v>
      </c>
      <c r="H464" s="69">
        <v>45506</v>
      </c>
      <c r="I464" s="88">
        <v>0.06</v>
      </c>
      <c r="J464" s="58">
        <v>3703030.02</v>
      </c>
    </row>
    <row r="465" spans="1:10" ht="15">
      <c r="A465" s="58" t="s">
        <v>749</v>
      </c>
      <c r="B465" s="58" t="s">
        <v>802</v>
      </c>
      <c r="C465" s="58" t="s">
        <v>798</v>
      </c>
      <c r="D465" s="58" t="s">
        <v>813</v>
      </c>
      <c r="E465" s="58">
        <v>4056531</v>
      </c>
      <c r="F465" s="58">
        <v>52</v>
      </c>
      <c r="G465" s="58">
        <v>329920</v>
      </c>
      <c r="H465" s="69">
        <v>45430</v>
      </c>
      <c r="I465" s="88">
        <v>0.35</v>
      </c>
      <c r="J465" s="58">
        <v>1898782.38</v>
      </c>
    </row>
    <row r="466" spans="1:10" ht="15">
      <c r="A466" s="58" t="s">
        <v>742</v>
      </c>
      <c r="B466" s="58" t="s">
        <v>787</v>
      </c>
      <c r="C466" s="58" t="s">
        <v>807</v>
      </c>
      <c r="D466" s="58" t="s">
        <v>805</v>
      </c>
      <c r="E466" s="58">
        <v>2832812</v>
      </c>
      <c r="F466" s="58">
        <v>68</v>
      </c>
      <c r="G466" s="58">
        <v>456684</v>
      </c>
      <c r="H466" s="69">
        <v>44793</v>
      </c>
      <c r="I466" s="88">
        <v>0.37</v>
      </c>
      <c r="J466" s="58">
        <v>958562.99</v>
      </c>
    </row>
    <row r="467" spans="1:10" ht="15">
      <c r="A467" s="58" t="s">
        <v>740</v>
      </c>
      <c r="B467" s="58" t="s">
        <v>809</v>
      </c>
      <c r="C467" s="58" t="s">
        <v>798</v>
      </c>
      <c r="D467" s="58" t="s">
        <v>813</v>
      </c>
      <c r="E467" s="58">
        <v>3270804</v>
      </c>
      <c r="F467" s="58">
        <v>8</v>
      </c>
      <c r="G467" s="58">
        <v>229578</v>
      </c>
      <c r="H467" s="69">
        <v>45303</v>
      </c>
      <c r="I467" s="88">
        <v>0.4</v>
      </c>
      <c r="J467" s="58">
        <v>368075.5</v>
      </c>
    </row>
    <row r="468" spans="1:10" ht="15">
      <c r="A468" s="58" t="s">
        <v>743</v>
      </c>
      <c r="B468" s="58" t="s">
        <v>787</v>
      </c>
      <c r="C468" s="58" t="s">
        <v>788</v>
      </c>
      <c r="D468" s="58" t="s">
        <v>806</v>
      </c>
      <c r="E468" s="58">
        <v>3345329</v>
      </c>
      <c r="F468" s="58">
        <v>34</v>
      </c>
      <c r="G468" s="58">
        <v>495896</v>
      </c>
      <c r="H468" s="69">
        <v>45521</v>
      </c>
      <c r="I468" s="88">
        <v>0.36</v>
      </c>
      <c r="J468" s="58">
        <v>79703.91</v>
      </c>
    </row>
    <row r="469" spans="1:10" ht="15">
      <c r="A469" s="58" t="s">
        <v>741</v>
      </c>
      <c r="B469" s="58" t="s">
        <v>792</v>
      </c>
      <c r="C469" s="58" t="s">
        <v>807</v>
      </c>
      <c r="D469" s="58" t="s">
        <v>811</v>
      </c>
      <c r="E469" s="58">
        <v>2930047</v>
      </c>
      <c r="F469" s="58">
        <v>21</v>
      </c>
      <c r="G469" s="58">
        <v>154467</v>
      </c>
      <c r="H469" s="69">
        <v>44610</v>
      </c>
      <c r="I469" s="88">
        <v>0.15</v>
      </c>
      <c r="J469" s="58">
        <v>1265879.52</v>
      </c>
    </row>
    <row r="470" spans="1:10" ht="15">
      <c r="A470" s="58" t="s">
        <v>740</v>
      </c>
      <c r="B470" s="58" t="s">
        <v>794</v>
      </c>
      <c r="C470" s="58" t="s">
        <v>809</v>
      </c>
      <c r="D470" s="58" t="s">
        <v>812</v>
      </c>
      <c r="E470" s="58">
        <v>2164416</v>
      </c>
      <c r="F470" s="58">
        <v>76</v>
      </c>
      <c r="G470" s="58">
        <v>176912</v>
      </c>
      <c r="H470" s="69">
        <v>45398</v>
      </c>
      <c r="I470" s="88">
        <v>0.16</v>
      </c>
      <c r="J470" s="58">
        <v>3671737.65</v>
      </c>
    </row>
    <row r="471" spans="1:10" ht="15">
      <c r="A471" s="58" t="s">
        <v>741</v>
      </c>
      <c r="B471" s="58" t="s">
        <v>802</v>
      </c>
      <c r="C471" s="58" t="s">
        <v>799</v>
      </c>
      <c r="D471" s="58" t="s">
        <v>805</v>
      </c>
      <c r="E471" s="58">
        <v>1172722</v>
      </c>
      <c r="F471" s="58">
        <v>9</v>
      </c>
      <c r="G471" s="58">
        <v>266206</v>
      </c>
      <c r="H471" s="69">
        <v>45034</v>
      </c>
      <c r="I471" s="88">
        <v>0.24</v>
      </c>
      <c r="J471" s="58">
        <v>684388.5</v>
      </c>
    </row>
    <row r="472" spans="1:10" ht="15">
      <c r="A472" s="58" t="s">
        <v>748</v>
      </c>
      <c r="B472" s="58" t="s">
        <v>814</v>
      </c>
      <c r="C472" s="58" t="s">
        <v>809</v>
      </c>
      <c r="D472" s="58" t="s">
        <v>796</v>
      </c>
      <c r="E472" s="58">
        <v>2433039</v>
      </c>
      <c r="F472" s="58">
        <v>68</v>
      </c>
      <c r="G472" s="58">
        <v>128021</v>
      </c>
      <c r="H472" s="69">
        <v>44731</v>
      </c>
      <c r="I472" s="88">
        <v>0.16</v>
      </c>
      <c r="J472" s="58">
        <v>1756654.06</v>
      </c>
    </row>
    <row r="473" spans="1:10" ht="15">
      <c r="A473" s="58" t="s">
        <v>741</v>
      </c>
      <c r="B473" s="58" t="s">
        <v>790</v>
      </c>
      <c r="C473" s="58" t="s">
        <v>807</v>
      </c>
      <c r="D473" s="58" t="s">
        <v>801</v>
      </c>
      <c r="E473" s="58">
        <v>4309677</v>
      </c>
      <c r="F473" s="58">
        <v>19</v>
      </c>
      <c r="G473" s="58">
        <v>259987</v>
      </c>
      <c r="H473" s="69">
        <v>44908</v>
      </c>
      <c r="I473" s="88">
        <v>0.22</v>
      </c>
      <c r="J473" s="58">
        <v>66304.56</v>
      </c>
    </row>
    <row r="474" spans="1:10" ht="15">
      <c r="A474" s="58" t="s">
        <v>747</v>
      </c>
      <c r="B474" s="58" t="s">
        <v>808</v>
      </c>
      <c r="C474" s="58" t="s">
        <v>798</v>
      </c>
      <c r="D474" s="58" t="s">
        <v>813</v>
      </c>
      <c r="E474" s="58">
        <v>4822249</v>
      </c>
      <c r="F474" s="58">
        <v>23</v>
      </c>
      <c r="G474" s="58">
        <v>292742</v>
      </c>
      <c r="H474" s="69">
        <v>44672</v>
      </c>
      <c r="I474" s="88">
        <v>0.41</v>
      </c>
      <c r="J474" s="58">
        <v>25802.06</v>
      </c>
    </row>
    <row r="475" spans="1:10" ht="15">
      <c r="A475" s="58" t="s">
        <v>742</v>
      </c>
      <c r="B475" s="58" t="s">
        <v>794</v>
      </c>
      <c r="C475" s="58" t="s">
        <v>799</v>
      </c>
      <c r="D475" s="58" t="s">
        <v>800</v>
      </c>
      <c r="E475" s="58">
        <v>4542331</v>
      </c>
      <c r="F475" s="58">
        <v>85</v>
      </c>
      <c r="G475" s="58">
        <v>35665</v>
      </c>
      <c r="H475" s="69">
        <v>45568</v>
      </c>
      <c r="I475" s="88">
        <v>0.44</v>
      </c>
      <c r="J475" s="58">
        <v>2015338.65</v>
      </c>
    </row>
    <row r="476" spans="1:10" ht="15">
      <c r="A476" s="58" t="s">
        <v>741</v>
      </c>
      <c r="B476" s="58" t="s">
        <v>808</v>
      </c>
      <c r="C476" s="58" t="s">
        <v>795</v>
      </c>
      <c r="D476" s="58" t="s">
        <v>811</v>
      </c>
      <c r="E476" s="58">
        <v>2426809</v>
      </c>
      <c r="F476" s="58">
        <v>35</v>
      </c>
      <c r="G476" s="58">
        <v>228394</v>
      </c>
      <c r="H476" s="69">
        <v>45171</v>
      </c>
      <c r="I476" s="88">
        <v>0.25</v>
      </c>
      <c r="J476" s="58">
        <v>3540575.5</v>
      </c>
    </row>
    <row r="477" spans="1:10" ht="15">
      <c r="A477" s="58" t="s">
        <v>745</v>
      </c>
      <c r="B477" s="58" t="s">
        <v>797</v>
      </c>
      <c r="C477" s="58" t="s">
        <v>807</v>
      </c>
      <c r="D477" s="58" t="s">
        <v>801</v>
      </c>
      <c r="E477" s="58">
        <v>964105</v>
      </c>
      <c r="F477" s="58">
        <v>97</v>
      </c>
      <c r="G477" s="58">
        <v>38407</v>
      </c>
      <c r="H477" s="69">
        <v>45119</v>
      </c>
      <c r="I477" s="88">
        <v>0.18</v>
      </c>
      <c r="J477" s="58">
        <v>2209670.1</v>
      </c>
    </row>
    <row r="478" spans="1:10" ht="15">
      <c r="A478" s="58" t="s">
        <v>741</v>
      </c>
      <c r="B478" s="58" t="s">
        <v>787</v>
      </c>
      <c r="C478" s="58" t="s">
        <v>793</v>
      </c>
      <c r="D478" s="58" t="s">
        <v>810</v>
      </c>
      <c r="E478" s="58">
        <v>3218341</v>
      </c>
      <c r="F478" s="58">
        <v>98</v>
      </c>
      <c r="G478" s="58">
        <v>375742</v>
      </c>
      <c r="H478" s="69">
        <v>44635</v>
      </c>
      <c r="I478" s="88">
        <v>0.18</v>
      </c>
      <c r="J478" s="58">
        <v>3143082.16</v>
      </c>
    </row>
    <row r="479" spans="1:10" ht="15">
      <c r="A479" s="58" t="s">
        <v>745</v>
      </c>
      <c r="B479" s="58" t="s">
        <v>809</v>
      </c>
      <c r="C479" s="58" t="s">
        <v>795</v>
      </c>
      <c r="D479" s="58" t="s">
        <v>796</v>
      </c>
      <c r="E479" s="58">
        <v>1670274</v>
      </c>
      <c r="F479" s="58">
        <v>57</v>
      </c>
      <c r="G479" s="58">
        <v>407541</v>
      </c>
      <c r="H479" s="69">
        <v>45397</v>
      </c>
      <c r="I479" s="88">
        <v>0.42</v>
      </c>
      <c r="J479" s="58">
        <v>3542650.34</v>
      </c>
    </row>
    <row r="480" spans="1:10" ht="15">
      <c r="A480" s="58" t="s">
        <v>744</v>
      </c>
      <c r="B480" s="58" t="s">
        <v>794</v>
      </c>
      <c r="C480" s="58" t="s">
        <v>799</v>
      </c>
      <c r="D480" s="58" t="s">
        <v>789</v>
      </c>
      <c r="E480" s="58">
        <v>3738451</v>
      </c>
      <c r="F480" s="58">
        <v>71</v>
      </c>
      <c r="G480" s="58">
        <v>390183</v>
      </c>
      <c r="H480" s="69">
        <v>45348</v>
      </c>
      <c r="I480" s="88">
        <v>0.34</v>
      </c>
      <c r="J480" s="58">
        <v>2469948.4700000002</v>
      </c>
    </row>
    <row r="481" spans="1:10" ht="15">
      <c r="A481" s="58" t="s">
        <v>742</v>
      </c>
      <c r="B481" s="58" t="s">
        <v>794</v>
      </c>
      <c r="C481" s="58" t="s">
        <v>795</v>
      </c>
      <c r="D481" s="58" t="s">
        <v>806</v>
      </c>
      <c r="E481" s="58">
        <v>2925782</v>
      </c>
      <c r="F481" s="58">
        <v>90</v>
      </c>
      <c r="G481" s="58">
        <v>26905</v>
      </c>
      <c r="H481" s="69">
        <v>45407</v>
      </c>
      <c r="I481" s="88">
        <v>0.49</v>
      </c>
      <c r="J481" s="58">
        <v>304624.26</v>
      </c>
    </row>
    <row r="482" spans="1:10" ht="15">
      <c r="A482" s="58" t="s">
        <v>748</v>
      </c>
      <c r="B482" s="58" t="s">
        <v>814</v>
      </c>
      <c r="C482" s="58" t="s">
        <v>799</v>
      </c>
      <c r="D482" s="58" t="s">
        <v>806</v>
      </c>
      <c r="E482" s="58">
        <v>1245391</v>
      </c>
      <c r="F482" s="58">
        <v>67</v>
      </c>
      <c r="G482" s="58">
        <v>167495</v>
      </c>
      <c r="H482" s="69">
        <v>45323</v>
      </c>
      <c r="I482" s="88">
        <v>0.28999999999999998</v>
      </c>
      <c r="J482" s="58">
        <v>2100036.84</v>
      </c>
    </row>
    <row r="483" spans="1:10" ht="15">
      <c r="A483" s="58" t="s">
        <v>749</v>
      </c>
      <c r="B483" s="58" t="s">
        <v>804</v>
      </c>
      <c r="C483" s="58" t="s">
        <v>795</v>
      </c>
      <c r="D483" s="58" t="s">
        <v>800</v>
      </c>
      <c r="E483" s="58">
        <v>4200850</v>
      </c>
      <c r="F483" s="58">
        <v>90</v>
      </c>
      <c r="G483" s="58">
        <v>386328</v>
      </c>
      <c r="H483" s="69">
        <v>44853</v>
      </c>
      <c r="I483" s="88">
        <v>0.28999999999999998</v>
      </c>
      <c r="J483" s="58">
        <v>3139960.56</v>
      </c>
    </row>
    <row r="484" spans="1:10" ht="15">
      <c r="A484" s="58" t="s">
        <v>743</v>
      </c>
      <c r="B484" s="58" t="s">
        <v>804</v>
      </c>
      <c r="C484" s="58" t="s">
        <v>788</v>
      </c>
      <c r="D484" s="58" t="s">
        <v>810</v>
      </c>
      <c r="E484" s="58">
        <v>2125392</v>
      </c>
      <c r="F484" s="58">
        <v>5</v>
      </c>
      <c r="G484" s="58">
        <v>91219</v>
      </c>
      <c r="H484" s="69">
        <v>44729</v>
      </c>
      <c r="I484" s="88">
        <v>0.35</v>
      </c>
      <c r="J484" s="58">
        <v>1569330</v>
      </c>
    </row>
    <row r="485" spans="1:10" ht="15">
      <c r="A485" s="58" t="s">
        <v>747</v>
      </c>
      <c r="B485" s="58" t="s">
        <v>802</v>
      </c>
      <c r="C485" s="58" t="s">
        <v>799</v>
      </c>
      <c r="D485" s="58" t="s">
        <v>796</v>
      </c>
      <c r="E485" s="58">
        <v>3828828</v>
      </c>
      <c r="F485" s="58">
        <v>24</v>
      </c>
      <c r="G485" s="58">
        <v>433534</v>
      </c>
      <c r="H485" s="69">
        <v>45133</v>
      </c>
      <c r="I485" s="88">
        <v>0.28000000000000003</v>
      </c>
      <c r="J485" s="58">
        <v>1152518</v>
      </c>
    </row>
    <row r="486" spans="1:10" ht="15">
      <c r="A486" s="58" t="s">
        <v>744</v>
      </c>
      <c r="B486" s="58" t="s">
        <v>814</v>
      </c>
      <c r="C486" s="58" t="s">
        <v>809</v>
      </c>
      <c r="D486" s="58" t="s">
        <v>815</v>
      </c>
      <c r="E486" s="58">
        <v>4446749</v>
      </c>
      <c r="F486" s="58">
        <v>53</v>
      </c>
      <c r="G486" s="58">
        <v>420392</v>
      </c>
      <c r="H486" s="69">
        <v>45263</v>
      </c>
      <c r="I486" s="88">
        <v>0.38</v>
      </c>
      <c r="J486" s="58">
        <v>1084605.72</v>
      </c>
    </row>
    <row r="487" spans="1:10" ht="15">
      <c r="A487" s="58" t="s">
        <v>742</v>
      </c>
      <c r="B487" s="58" t="s">
        <v>790</v>
      </c>
      <c r="C487" s="58" t="s">
        <v>807</v>
      </c>
      <c r="D487" s="58" t="s">
        <v>801</v>
      </c>
      <c r="E487" s="58">
        <v>1546620</v>
      </c>
      <c r="F487" s="58">
        <v>92</v>
      </c>
      <c r="G487" s="58">
        <v>154973</v>
      </c>
      <c r="H487" s="69">
        <v>45150</v>
      </c>
      <c r="I487" s="88">
        <v>0.19</v>
      </c>
      <c r="J487" s="58">
        <v>2620883.4300000002</v>
      </c>
    </row>
    <row r="488" spans="1:10" ht="15">
      <c r="A488" s="58" t="s">
        <v>748</v>
      </c>
      <c r="B488" s="58" t="s">
        <v>794</v>
      </c>
      <c r="C488" s="58" t="s">
        <v>807</v>
      </c>
      <c r="D488" s="58" t="s">
        <v>789</v>
      </c>
      <c r="E488" s="58">
        <v>2685830</v>
      </c>
      <c r="F488" s="58">
        <v>75</v>
      </c>
      <c r="G488" s="58">
        <v>238703</v>
      </c>
      <c r="H488" s="69">
        <v>45262</v>
      </c>
      <c r="I488" s="88">
        <v>0.18</v>
      </c>
      <c r="J488" s="58">
        <v>1978256.43</v>
      </c>
    </row>
    <row r="489" spans="1:10" ht="15">
      <c r="A489" s="58" t="s">
        <v>744</v>
      </c>
      <c r="B489" s="58" t="s">
        <v>794</v>
      </c>
      <c r="C489" s="58" t="s">
        <v>809</v>
      </c>
      <c r="D489" s="58" t="s">
        <v>810</v>
      </c>
      <c r="E489" s="58">
        <v>1738479</v>
      </c>
      <c r="F489" s="58">
        <v>19</v>
      </c>
      <c r="G489" s="58">
        <v>357308</v>
      </c>
      <c r="H489" s="69">
        <v>45544</v>
      </c>
      <c r="I489" s="88">
        <v>0.42</v>
      </c>
      <c r="J489" s="58">
        <v>1615731</v>
      </c>
    </row>
    <row r="490" spans="1:10" ht="15">
      <c r="A490" s="58" t="s">
        <v>745</v>
      </c>
      <c r="B490" s="58" t="s">
        <v>809</v>
      </c>
      <c r="C490" s="58" t="s">
        <v>798</v>
      </c>
      <c r="D490" s="58" t="s">
        <v>813</v>
      </c>
      <c r="E490" s="58">
        <v>718608</v>
      </c>
      <c r="F490" s="58">
        <v>60</v>
      </c>
      <c r="G490" s="58">
        <v>84604</v>
      </c>
      <c r="H490" s="69">
        <v>45006</v>
      </c>
      <c r="I490" s="88">
        <v>0.44</v>
      </c>
      <c r="J490" s="58">
        <v>285163.59000000003</v>
      </c>
    </row>
    <row r="491" spans="1:10" ht="15">
      <c r="A491" s="58" t="s">
        <v>741</v>
      </c>
      <c r="B491" s="58" t="s">
        <v>804</v>
      </c>
      <c r="C491" s="58" t="s">
        <v>809</v>
      </c>
      <c r="D491" s="58" t="s">
        <v>813</v>
      </c>
      <c r="E491" s="58">
        <v>1000655</v>
      </c>
      <c r="F491" s="58">
        <v>96</v>
      </c>
      <c r="G491" s="58">
        <v>208262</v>
      </c>
      <c r="H491" s="69">
        <v>45173</v>
      </c>
      <c r="I491" s="88">
        <v>0.35</v>
      </c>
      <c r="J491" s="58">
        <v>2150331.75</v>
      </c>
    </row>
    <row r="492" spans="1:10" ht="15">
      <c r="A492" s="58" t="s">
        <v>745</v>
      </c>
      <c r="B492" s="58" t="s">
        <v>797</v>
      </c>
      <c r="C492" s="58" t="s">
        <v>793</v>
      </c>
      <c r="D492" s="58" t="s">
        <v>801</v>
      </c>
      <c r="E492" s="58">
        <v>4389187</v>
      </c>
      <c r="F492" s="58">
        <v>30</v>
      </c>
      <c r="G492" s="58">
        <v>95692</v>
      </c>
      <c r="H492" s="69">
        <v>44862</v>
      </c>
      <c r="I492" s="88">
        <v>0.37</v>
      </c>
      <c r="J492" s="58">
        <v>1115228.3999999999</v>
      </c>
    </row>
    <row r="493" spans="1:10" ht="15">
      <c r="A493" s="58" t="s">
        <v>740</v>
      </c>
      <c r="B493" s="58" t="s">
        <v>802</v>
      </c>
      <c r="C493" s="58" t="s">
        <v>788</v>
      </c>
      <c r="D493" s="58" t="s">
        <v>812</v>
      </c>
      <c r="E493" s="58">
        <v>2894963</v>
      </c>
      <c r="F493" s="58">
        <v>6</v>
      </c>
      <c r="G493" s="58">
        <v>451690</v>
      </c>
      <c r="H493" s="69">
        <v>44853</v>
      </c>
      <c r="I493" s="88">
        <v>0.47</v>
      </c>
      <c r="J493" s="58">
        <v>926567.49</v>
      </c>
    </row>
    <row r="494" spans="1:10" ht="15">
      <c r="A494" s="58" t="s">
        <v>744</v>
      </c>
      <c r="B494" s="58" t="s">
        <v>802</v>
      </c>
      <c r="C494" s="58" t="s">
        <v>798</v>
      </c>
      <c r="D494" s="58" t="s">
        <v>805</v>
      </c>
      <c r="E494" s="58">
        <v>1809792</v>
      </c>
      <c r="F494" s="58">
        <v>97</v>
      </c>
      <c r="G494" s="58">
        <v>286982</v>
      </c>
      <c r="H494" s="69">
        <v>45269</v>
      </c>
      <c r="I494" s="88">
        <v>0.5</v>
      </c>
      <c r="J494" s="58">
        <v>1296754.51</v>
      </c>
    </row>
    <row r="495" spans="1:10" ht="15">
      <c r="A495" s="58" t="s">
        <v>749</v>
      </c>
      <c r="B495" s="58" t="s">
        <v>794</v>
      </c>
      <c r="C495" s="58" t="s">
        <v>807</v>
      </c>
      <c r="D495" s="58" t="s">
        <v>800</v>
      </c>
      <c r="E495" s="58">
        <v>55936</v>
      </c>
      <c r="F495" s="58">
        <v>80</v>
      </c>
      <c r="G495" s="58">
        <v>430811</v>
      </c>
      <c r="H495" s="69">
        <v>45546</v>
      </c>
      <c r="I495" s="88">
        <v>0.12</v>
      </c>
      <c r="J495" s="58">
        <v>2798292.45</v>
      </c>
    </row>
    <row r="496" spans="1:10" ht="15">
      <c r="A496" s="58" t="s">
        <v>743</v>
      </c>
      <c r="B496" s="58" t="s">
        <v>792</v>
      </c>
      <c r="C496" s="58" t="s">
        <v>795</v>
      </c>
      <c r="D496" s="58" t="s">
        <v>811</v>
      </c>
      <c r="E496" s="58">
        <v>1312052</v>
      </c>
      <c r="F496" s="58">
        <v>12</v>
      </c>
      <c r="G496" s="58">
        <v>130508</v>
      </c>
      <c r="H496" s="69">
        <v>44597</v>
      </c>
      <c r="I496" s="88">
        <v>0.48</v>
      </c>
      <c r="J496" s="58">
        <v>78402.55</v>
      </c>
    </row>
    <row r="497" spans="1:10" ht="15">
      <c r="A497" s="58" t="s">
        <v>746</v>
      </c>
      <c r="B497" s="58" t="s">
        <v>797</v>
      </c>
      <c r="C497" s="58" t="s">
        <v>788</v>
      </c>
      <c r="D497" s="58" t="s">
        <v>812</v>
      </c>
      <c r="E497" s="58">
        <v>945854</v>
      </c>
      <c r="F497" s="58">
        <v>30</v>
      </c>
      <c r="G497" s="58">
        <v>113549</v>
      </c>
      <c r="H497" s="69">
        <v>45354</v>
      </c>
      <c r="I497" s="88">
        <v>0.49</v>
      </c>
      <c r="J497" s="58">
        <v>1414740.6</v>
      </c>
    </row>
    <row r="498" spans="1:10" ht="15">
      <c r="A498" s="58" t="s">
        <v>748</v>
      </c>
      <c r="B498" s="58" t="s">
        <v>787</v>
      </c>
      <c r="C498" s="58" t="s">
        <v>798</v>
      </c>
      <c r="D498" s="58" t="s">
        <v>803</v>
      </c>
      <c r="E498" s="58">
        <v>3729752</v>
      </c>
      <c r="F498" s="58">
        <v>65</v>
      </c>
      <c r="G498" s="58">
        <v>257746</v>
      </c>
      <c r="H498" s="69">
        <v>45090</v>
      </c>
      <c r="I498" s="88">
        <v>0.33</v>
      </c>
      <c r="J498" s="58">
        <v>933321.39</v>
      </c>
    </row>
    <row r="499" spans="1:10" ht="15">
      <c r="A499" s="58" t="s">
        <v>744</v>
      </c>
      <c r="B499" s="58" t="s">
        <v>808</v>
      </c>
      <c r="C499" s="58" t="s">
        <v>788</v>
      </c>
      <c r="D499" s="58" t="s">
        <v>800</v>
      </c>
      <c r="E499" s="58">
        <v>4014413</v>
      </c>
      <c r="F499" s="58">
        <v>4</v>
      </c>
      <c r="G499" s="58">
        <v>338162</v>
      </c>
      <c r="H499" s="69">
        <v>45122</v>
      </c>
      <c r="I499" s="88">
        <v>0.39</v>
      </c>
      <c r="J499" s="58">
        <v>2334372.54</v>
      </c>
    </row>
    <row r="500" spans="1:10" ht="15">
      <c r="A500" s="58" t="s">
        <v>749</v>
      </c>
      <c r="B500" s="58" t="s">
        <v>794</v>
      </c>
      <c r="C500" s="58" t="s">
        <v>795</v>
      </c>
      <c r="D500" s="58" t="s">
        <v>806</v>
      </c>
      <c r="E500" s="58">
        <v>2939411</v>
      </c>
      <c r="F500" s="58">
        <v>94</v>
      </c>
      <c r="G500" s="58">
        <v>90005</v>
      </c>
      <c r="H500" s="69">
        <v>44667</v>
      </c>
      <c r="I500" s="88">
        <v>0.02</v>
      </c>
      <c r="J500" s="58">
        <v>1749383.91</v>
      </c>
    </row>
    <row r="501" spans="1:10" ht="15">
      <c r="A501" s="58" t="s">
        <v>743</v>
      </c>
      <c r="B501" s="58" t="s">
        <v>792</v>
      </c>
      <c r="C501" s="58" t="s">
        <v>799</v>
      </c>
      <c r="D501" s="58" t="s">
        <v>805</v>
      </c>
      <c r="E501" s="58">
        <v>3661161</v>
      </c>
      <c r="F501" s="58">
        <v>91</v>
      </c>
      <c r="G501" s="58">
        <v>239632</v>
      </c>
      <c r="H501" s="69">
        <v>44714</v>
      </c>
      <c r="I501" s="88">
        <v>7.0000000000000007E-2</v>
      </c>
      <c r="J501" s="58">
        <v>1079133.93</v>
      </c>
    </row>
    <row r="502" spans="1:10" ht="15">
      <c r="A502" s="58" t="s">
        <v>743</v>
      </c>
      <c r="B502" s="58" t="s">
        <v>808</v>
      </c>
      <c r="C502" s="58" t="s">
        <v>788</v>
      </c>
      <c r="D502" s="58" t="s">
        <v>801</v>
      </c>
      <c r="E502" s="58">
        <v>1031654</v>
      </c>
      <c r="F502" s="58">
        <v>83</v>
      </c>
      <c r="G502" s="58">
        <v>464968</v>
      </c>
      <c r="H502" s="69">
        <v>45433</v>
      </c>
      <c r="I502" s="88">
        <v>0.4</v>
      </c>
      <c r="J502" s="58">
        <v>3454983</v>
      </c>
    </row>
    <row r="503" spans="1:10" ht="15">
      <c r="A503" s="58" t="s">
        <v>749</v>
      </c>
      <c r="B503" s="58" t="s">
        <v>809</v>
      </c>
      <c r="C503" s="58" t="s">
        <v>809</v>
      </c>
      <c r="D503" s="58" t="s">
        <v>800</v>
      </c>
      <c r="E503" s="58">
        <v>2106977</v>
      </c>
      <c r="F503" s="58">
        <v>32</v>
      </c>
      <c r="G503" s="58">
        <v>292555</v>
      </c>
      <c r="H503" s="69">
        <v>44758</v>
      </c>
      <c r="I503" s="88">
        <v>0.25</v>
      </c>
      <c r="J503" s="58">
        <v>2884876.26</v>
      </c>
    </row>
  </sheetData>
  <phoneticPr fontId="3" type="noConversion"/>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1DD4-3FA0-4D35-8B53-F5DCDCCBCF4F}">
  <sheetPr codeName="Sheet13"/>
  <dimension ref="A1:J38"/>
  <sheetViews>
    <sheetView zoomScaleNormal="100" workbookViewId="0">
      <selection activeCell="A10" sqref="A10"/>
    </sheetView>
  </sheetViews>
  <sheetFormatPr baseColWidth="10" defaultColWidth="8.83203125" defaultRowHeight="14"/>
  <cols>
    <col min="1" max="7" width="11.83203125" customWidth="1"/>
    <col min="10" max="10" width="10.5" bestFit="1" customWidth="1"/>
  </cols>
  <sheetData>
    <row r="1" spans="1:10" s="122" customFormat="1" ht="30" customHeight="1"/>
    <row r="2" spans="1:10" s="128" customFormat="1" ht="5.5" customHeight="1"/>
    <row r="3" spans="1:10">
      <c r="A3" t="s">
        <v>923</v>
      </c>
      <c r="B3">
        <v>2024</v>
      </c>
    </row>
    <row r="4" spans="1:10">
      <c r="A4" t="s">
        <v>924</v>
      </c>
      <c r="B4">
        <v>10</v>
      </c>
    </row>
    <row r="5" spans="1:10">
      <c r="A5" s="54"/>
      <c r="B5" s="54"/>
      <c r="C5" s="54"/>
      <c r="D5" s="54"/>
      <c r="E5" s="54"/>
      <c r="F5" s="54"/>
      <c r="G5" s="54"/>
    </row>
    <row r="6" spans="1:10">
      <c r="A6" s="93" t="s">
        <v>925</v>
      </c>
      <c r="B6" s="93" t="s">
        <v>924</v>
      </c>
      <c r="C6" s="93" t="s">
        <v>926</v>
      </c>
      <c r="D6" s="93" t="s">
        <v>927</v>
      </c>
      <c r="E6" s="93" t="s">
        <v>928</v>
      </c>
      <c r="F6" s="93" t="s">
        <v>929</v>
      </c>
      <c r="G6" s="93" t="s">
        <v>930</v>
      </c>
    </row>
    <row r="7" spans="1:10">
      <c r="A7" s="94">
        <f>DATE($B$3, $B$4, 1) - WEEKDAY(DATE($B$3, $B$4, 1),1) + 1</f>
        <v>45564</v>
      </c>
      <c r="B7" s="94">
        <f>A7+1</f>
        <v>45565</v>
      </c>
      <c r="C7" s="94">
        <f t="shared" ref="C7:G7" si="0">B7+1</f>
        <v>45566</v>
      </c>
      <c r="D7" s="94">
        <f t="shared" si="0"/>
        <v>45567</v>
      </c>
      <c r="E7" s="94">
        <f t="shared" si="0"/>
        <v>45568</v>
      </c>
      <c r="F7" s="94">
        <f t="shared" si="0"/>
        <v>45569</v>
      </c>
      <c r="G7" s="94">
        <f t="shared" si="0"/>
        <v>45570</v>
      </c>
      <c r="J7" s="54"/>
    </row>
    <row r="8" spans="1:10" ht="67" customHeight="1">
      <c r="A8" s="95" t="str" cm="1">
        <f t="array" ref="A8">IFERROR(_xlfn.TEXTJOIN(CHAR(10),1,_xlfn._xlws.FILTER($K$7:$K$37,$J$7:$J$37=A7)),"")</f>
        <v/>
      </c>
      <c r="B8" s="95" t="str" cm="1">
        <f t="array" ref="B8">IFERROR(_xlfn.TEXTJOIN(CHAR(10),1,_xlfn._xlws.FILTER($K$7:$K$37,$J$7:$J$37=B7)),"")</f>
        <v/>
      </c>
      <c r="C8" s="95" t="str" cm="1">
        <f t="array" ref="C8">IFERROR(_xlfn.TEXTJOIN(CHAR(10),1,_xlfn._xlws.FILTER($K$7:$K$37,$J$7:$J$37=C7)),"")</f>
        <v/>
      </c>
      <c r="D8" s="95" t="str" cm="1">
        <f t="array" ref="D8">IFERROR(_xlfn.TEXTJOIN(CHAR(10),1,_xlfn._xlws.FILTER($K$7:$K$37,$J$7:$J$37=D7)),"")</f>
        <v/>
      </c>
      <c r="E8" s="95" t="str" cm="1">
        <f t="array" ref="E8">IFERROR(_xlfn.TEXTJOIN(CHAR(10),1,_xlfn._xlws.FILTER($K$7:$K$37,$J$7:$J$37=E7)),"")</f>
        <v/>
      </c>
      <c r="F8" s="95" t="str" cm="1">
        <f t="array" ref="F8">IFERROR(_xlfn.TEXTJOIN(CHAR(10),1,_xlfn._xlws.FILTER($K$7:$K$37,$J$7:$J$37=F7)),"")</f>
        <v/>
      </c>
      <c r="G8" s="95" t="str" cm="1">
        <f t="array" ref="G8">IFERROR(_xlfn.TEXTJOIN(CHAR(10),1,_xlfn._xlws.FILTER($K$7:$K$37,$J$7:$J$37=G7)),"")</f>
        <v/>
      </c>
      <c r="J8" s="54"/>
    </row>
    <row r="9" spans="1:10">
      <c r="A9" s="94">
        <f t="shared" ref="A9:G9" si="1">A7+7</f>
        <v>45571</v>
      </c>
      <c r="B9" s="94">
        <f t="shared" si="1"/>
        <v>45572</v>
      </c>
      <c r="C9" s="94">
        <f t="shared" si="1"/>
        <v>45573</v>
      </c>
      <c r="D9" s="94">
        <f t="shared" si="1"/>
        <v>45574</v>
      </c>
      <c r="E9" s="94">
        <f t="shared" si="1"/>
        <v>45575</v>
      </c>
      <c r="F9" s="94">
        <f t="shared" si="1"/>
        <v>45576</v>
      </c>
      <c r="G9" s="94">
        <f t="shared" si="1"/>
        <v>45577</v>
      </c>
      <c r="J9" s="54"/>
    </row>
    <row r="10" spans="1:10" ht="66.5" customHeight="1">
      <c r="A10" s="95" t="str" cm="1">
        <f t="array" ref="A10">IFERROR(_xlfn.TEXTJOIN(CHAR(10),1,_xlfn._xlws.FILTER($K$7:$K$37,$J$7:$J$37=A9)),"")</f>
        <v/>
      </c>
      <c r="B10" s="95" t="str" cm="1">
        <f t="array" ref="B10">IFERROR(_xlfn.TEXTJOIN(CHAR(10),1,_xlfn._xlws.FILTER($K$7:$K$37,$J$7:$J$37=B9)),"")</f>
        <v/>
      </c>
      <c r="C10" s="95" t="str" cm="1">
        <f t="array" ref="C10">IFERROR(_xlfn.TEXTJOIN(CHAR(10),1,_xlfn._xlws.FILTER($K$7:$K$37,$J$7:$J$37=C9)),"")</f>
        <v/>
      </c>
      <c r="D10" s="95" t="str" cm="1">
        <f t="array" ref="D10">IFERROR(_xlfn.TEXTJOIN(CHAR(10),1,_xlfn._xlws.FILTER($K$7:$K$37,$J$7:$J$37=D9)),"")</f>
        <v/>
      </c>
      <c r="E10" s="95" t="str" cm="1">
        <f t="array" ref="E10">IFERROR(_xlfn.TEXTJOIN(CHAR(10),1,_xlfn._xlws.FILTER($K$7:$K$37,$J$7:$J$37=E9)),"")</f>
        <v/>
      </c>
      <c r="F10" s="95" t="str" cm="1">
        <f t="array" ref="F10">IFERROR(_xlfn.TEXTJOIN(CHAR(10),1,_xlfn._xlws.FILTER($K$7:$K$37,$J$7:$J$37=F9)),"")</f>
        <v/>
      </c>
      <c r="G10" s="95" t="str" cm="1">
        <f t="array" ref="G10">IFERROR(_xlfn.TEXTJOIN(CHAR(10),1,_xlfn._xlws.FILTER($K$7:$K$37,$J$7:$J$37=G9)),"")</f>
        <v/>
      </c>
      <c r="J10" s="54"/>
    </row>
    <row r="11" spans="1:10">
      <c r="A11" s="94">
        <f t="shared" ref="A11:G11" si="2">A9+7</f>
        <v>45578</v>
      </c>
      <c r="B11" s="94">
        <f t="shared" si="2"/>
        <v>45579</v>
      </c>
      <c r="C11" s="94">
        <f t="shared" si="2"/>
        <v>45580</v>
      </c>
      <c r="D11" s="94">
        <f t="shared" si="2"/>
        <v>45581</v>
      </c>
      <c r="E11" s="94">
        <f t="shared" si="2"/>
        <v>45582</v>
      </c>
      <c r="F11" s="94">
        <f t="shared" si="2"/>
        <v>45583</v>
      </c>
      <c r="G11" s="94">
        <f t="shared" si="2"/>
        <v>45584</v>
      </c>
      <c r="J11" s="54"/>
    </row>
    <row r="12" spans="1:10" ht="57.5" customHeight="1">
      <c r="A12" s="95" t="str" cm="1">
        <f t="array" ref="A12">IFERROR(_xlfn.TEXTJOIN(CHAR(10),1,_xlfn._xlws.FILTER($K$7:$K$37,$J$7:$J$37=A11)),"")</f>
        <v/>
      </c>
      <c r="B12" s="95" t="str" cm="1">
        <f t="array" ref="B12">IFERROR(_xlfn.TEXTJOIN(CHAR(10),1,_xlfn._xlws.FILTER($K$7:$K$37,$J$7:$J$37=B11)),"")</f>
        <v/>
      </c>
      <c r="C12" s="95" t="str" cm="1">
        <f t="array" ref="C12">IFERROR(_xlfn.TEXTJOIN(CHAR(10),1,_xlfn._xlws.FILTER($K$7:$K$37,$J$7:$J$37=C11)),"")</f>
        <v/>
      </c>
      <c r="D12" s="95" t="str" cm="1">
        <f t="array" ref="D12">IFERROR(_xlfn.TEXTJOIN(CHAR(10),1,_xlfn._xlws.FILTER($K$7:$K$37,$J$7:$J$37=D11)),"")</f>
        <v/>
      </c>
      <c r="E12" s="95" t="str" cm="1">
        <f t="array" ref="E12">IFERROR(_xlfn.TEXTJOIN(CHAR(10),1,_xlfn._xlws.FILTER($K$7:$K$37,$J$7:$J$37=E11)),"")</f>
        <v/>
      </c>
      <c r="F12" s="95" t="str" cm="1">
        <f t="array" ref="F12">IFERROR(_xlfn.TEXTJOIN(CHAR(10),1,_xlfn._xlws.FILTER($K$7:$K$37,$J$7:$J$37=F11)),"")</f>
        <v/>
      </c>
      <c r="G12" s="95" t="str" cm="1">
        <f t="array" ref="G12">IFERROR(_xlfn.TEXTJOIN(CHAR(10),1,_xlfn._xlws.FILTER($K$7:$K$37,$J$7:$J$37=G11)),"")</f>
        <v/>
      </c>
      <c r="J12" s="54"/>
    </row>
    <row r="13" spans="1:10">
      <c r="A13" s="94">
        <f t="shared" ref="A13:G13" si="3">A11+7</f>
        <v>45585</v>
      </c>
      <c r="B13" s="94">
        <f t="shared" si="3"/>
        <v>45586</v>
      </c>
      <c r="C13" s="94">
        <f t="shared" si="3"/>
        <v>45587</v>
      </c>
      <c r="D13" s="94">
        <f t="shared" si="3"/>
        <v>45588</v>
      </c>
      <c r="E13" s="94">
        <f t="shared" si="3"/>
        <v>45589</v>
      </c>
      <c r="F13" s="94">
        <f t="shared" si="3"/>
        <v>45590</v>
      </c>
      <c r="G13" s="94">
        <f t="shared" si="3"/>
        <v>45591</v>
      </c>
      <c r="J13" s="54"/>
    </row>
    <row r="14" spans="1:10" ht="54.5" customHeight="1">
      <c r="A14" s="95" t="str" cm="1">
        <f t="array" ref="A14">IFERROR(_xlfn.TEXTJOIN(CHAR(10),1,_xlfn._xlws.FILTER($K$7:$K$37,$J$7:$J$37=A13)),"")</f>
        <v/>
      </c>
      <c r="B14" s="95" t="str" cm="1">
        <f t="array" ref="B14">IFERROR(_xlfn.TEXTJOIN(CHAR(10),1,_xlfn._xlws.FILTER($K$7:$K$37,$J$7:$J$37=B13)),"")</f>
        <v/>
      </c>
      <c r="C14" s="95" t="str" cm="1">
        <f t="array" ref="C14">IFERROR(_xlfn.TEXTJOIN(CHAR(10),1,_xlfn._xlws.FILTER($K$7:$K$37,$J$7:$J$37=C13)),"")</f>
        <v/>
      </c>
      <c r="D14" s="95" t="str" cm="1">
        <f t="array" ref="D14">IFERROR(_xlfn.TEXTJOIN(CHAR(10),1,_xlfn._xlws.FILTER($K$7:$K$37,$J$7:$J$37=D13)),"")</f>
        <v/>
      </c>
      <c r="E14" s="95" t="str" cm="1">
        <f t="array" ref="E14">IFERROR(_xlfn.TEXTJOIN(CHAR(10),1,_xlfn._xlws.FILTER($K$7:$K$37,$J$7:$J$37=E13)),"")</f>
        <v/>
      </c>
      <c r="F14" s="95" t="str" cm="1">
        <f t="array" ref="F14">IFERROR(_xlfn.TEXTJOIN(CHAR(10),1,_xlfn._xlws.FILTER($K$7:$K$37,$J$7:$J$37=F13)),"")</f>
        <v/>
      </c>
      <c r="G14" s="95" t="str" cm="1">
        <f t="array" ref="G14">IFERROR(_xlfn.TEXTJOIN(CHAR(10),1,_xlfn._xlws.FILTER($K$7:$K$37,$J$7:$J$37=G13)),"")</f>
        <v/>
      </c>
      <c r="J14" s="54"/>
    </row>
    <row r="15" spans="1:10">
      <c r="A15" s="94">
        <f t="shared" ref="A15:G15" si="4">A13+7</f>
        <v>45592</v>
      </c>
      <c r="B15" s="94">
        <f t="shared" si="4"/>
        <v>45593</v>
      </c>
      <c r="C15" s="94">
        <f t="shared" si="4"/>
        <v>45594</v>
      </c>
      <c r="D15" s="94">
        <f t="shared" si="4"/>
        <v>45595</v>
      </c>
      <c r="E15" s="94">
        <f t="shared" si="4"/>
        <v>45596</v>
      </c>
      <c r="F15" s="94">
        <f t="shared" si="4"/>
        <v>45597</v>
      </c>
      <c r="G15" s="94">
        <f t="shared" si="4"/>
        <v>45598</v>
      </c>
    </row>
    <row r="16" spans="1:10" ht="50" customHeight="1">
      <c r="A16" s="95" t="str" cm="1">
        <f t="array" ref="A16">IFERROR(_xlfn.TEXTJOIN(CHAR(10),1,_xlfn._xlws.FILTER($K$7:$K$37,$J$7:$J$37=A15)),"")</f>
        <v/>
      </c>
      <c r="B16" s="95" t="str" cm="1">
        <f t="array" ref="B16">IFERROR(_xlfn.TEXTJOIN(CHAR(10),1,_xlfn._xlws.FILTER($K$7:$K$37,$J$7:$J$37=B15)),"")</f>
        <v/>
      </c>
      <c r="C16" s="95" t="str" cm="1">
        <f t="array" ref="C16">IFERROR(_xlfn.TEXTJOIN(CHAR(10),1,_xlfn._xlws.FILTER($K$7:$K$37,$J$7:$J$37=C15)),"")</f>
        <v/>
      </c>
      <c r="D16" s="95" t="str" cm="1">
        <f t="array" ref="D16">IFERROR(_xlfn.TEXTJOIN(CHAR(10),1,_xlfn._xlws.FILTER($K$7:$K$37,$J$7:$J$37=D15)),"")</f>
        <v/>
      </c>
      <c r="E16" s="95" t="str" cm="1">
        <f t="array" ref="E16">IFERROR(_xlfn.TEXTJOIN(CHAR(10),1,_xlfn._xlws.FILTER($K$7:$K$37,$J$7:$J$37=E15)),"")</f>
        <v/>
      </c>
      <c r="F16" s="95" t="str" cm="1">
        <f t="array" ref="F16">IFERROR(_xlfn.TEXTJOIN(CHAR(10),1,_xlfn._xlws.FILTER($K$7:$K$37,$J$7:$J$37=F15)),"")</f>
        <v/>
      </c>
      <c r="G16" s="95" t="str" cm="1">
        <f t="array" ref="G16">IFERROR(_xlfn.TEXTJOIN(CHAR(10),1,_xlfn._xlws.FILTER($K$7:$K$37,$J$7:$J$37=G15)),"")</f>
        <v/>
      </c>
    </row>
    <row r="17" spans="1:7">
      <c r="A17" s="94">
        <f t="shared" ref="A17:G17" si="5">A15+7</f>
        <v>45599</v>
      </c>
      <c r="B17" s="94">
        <f t="shared" si="5"/>
        <v>45600</v>
      </c>
      <c r="C17" s="94">
        <f t="shared" si="5"/>
        <v>45601</v>
      </c>
      <c r="D17" s="94">
        <f t="shared" si="5"/>
        <v>45602</v>
      </c>
      <c r="E17" s="94">
        <f t="shared" si="5"/>
        <v>45603</v>
      </c>
      <c r="F17" s="94">
        <f t="shared" si="5"/>
        <v>45604</v>
      </c>
      <c r="G17" s="94">
        <f t="shared" si="5"/>
        <v>45605</v>
      </c>
    </row>
    <row r="18" spans="1:7" ht="61.5" customHeight="1">
      <c r="A18" s="95" t="str" cm="1">
        <f t="array" ref="A18">IFERROR(_xlfn.TEXTJOIN(CHAR(10),1,_xlfn._xlws.FILTER($K$7:$K$37,$J$7:$J$37=A17)),"")</f>
        <v/>
      </c>
      <c r="B18" s="95" t="str" cm="1">
        <f t="array" ref="B18">IFERROR(_xlfn.TEXTJOIN(CHAR(10),1,_xlfn._xlws.FILTER($K$7:$K$37,$J$7:$J$37=B17)),"")</f>
        <v/>
      </c>
      <c r="C18" s="95" t="str" cm="1">
        <f t="array" ref="C18">IFERROR(_xlfn.TEXTJOIN(CHAR(10),1,_xlfn._xlws.FILTER($K$7:$K$37,$J$7:$J$37=C17)),"")</f>
        <v/>
      </c>
      <c r="D18" s="95" t="str" cm="1">
        <f t="array" ref="D18">IFERROR(_xlfn.TEXTJOIN(CHAR(10),1,_xlfn._xlws.FILTER($K$7:$K$37,$J$7:$J$37=D17)),"")</f>
        <v/>
      </c>
      <c r="E18" s="95" t="str" cm="1">
        <f t="array" ref="E18">IFERROR(_xlfn.TEXTJOIN(CHAR(10),1,_xlfn._xlws.FILTER($K$7:$K$37,$J$7:$J$37=E17)),"")</f>
        <v/>
      </c>
      <c r="F18" s="95" t="str" cm="1">
        <f t="array" ref="F18">IFERROR(_xlfn.TEXTJOIN(CHAR(10),1,_xlfn._xlws.FILTER($K$7:$K$37,$J$7:$J$37=F17)),"")</f>
        <v/>
      </c>
      <c r="G18" s="95" t="str" cm="1">
        <f t="array" ref="G18">IFERROR(_xlfn.TEXTJOIN(CHAR(10),1,_xlfn._xlws.FILTER($K$7:$K$37,$J$7:$J$37=G17)),"")</f>
        <v/>
      </c>
    </row>
    <row r="38" spans="5:5" ht="17">
      <c r="E38" s="34"/>
    </row>
  </sheetData>
  <phoneticPr fontId="3" type="noConversion"/>
  <conditionalFormatting sqref="A7:G18">
    <cfRule type="expression" dxfId="0" priority="2">
      <formula>MONTH(A7)&lt;&gt;$B$4</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47FE-D227-44DA-A1DC-473B6FA8A321}">
  <sheetPr codeName="Sheet14"/>
  <dimension ref="A1:J503"/>
  <sheetViews>
    <sheetView workbookViewId="0"/>
  </sheetViews>
  <sheetFormatPr baseColWidth="10" defaultColWidth="8.83203125" defaultRowHeight="14"/>
  <cols>
    <col min="8" max="8" width="9.83203125" bestFit="1" customWidth="1"/>
  </cols>
  <sheetData>
    <row r="1" spans="1:10" s="122" customFormat="1" ht="30" customHeight="1"/>
    <row r="2" spans="1:10" s="128" customFormat="1" ht="5.5" customHeight="1"/>
    <row r="3" spans="1:10" ht="15">
      <c r="A3" s="55" t="s">
        <v>778</v>
      </c>
      <c r="B3" s="56" t="s">
        <v>779</v>
      </c>
      <c r="C3" s="56" t="s">
        <v>780</v>
      </c>
      <c r="D3" s="56" t="s">
        <v>781</v>
      </c>
      <c r="E3" s="56" t="s">
        <v>732</v>
      </c>
      <c r="F3" s="56" t="s">
        <v>782</v>
      </c>
      <c r="G3" s="56" t="s">
        <v>783</v>
      </c>
      <c r="H3" s="68" t="s">
        <v>784</v>
      </c>
      <c r="I3" s="56" t="s">
        <v>785</v>
      </c>
      <c r="J3" s="56" t="s">
        <v>786</v>
      </c>
    </row>
    <row r="4" spans="1:10" ht="15">
      <c r="A4" s="58" t="s">
        <v>743</v>
      </c>
      <c r="B4" s="58" t="s">
        <v>787</v>
      </c>
      <c r="C4" s="58" t="s">
        <v>788</v>
      </c>
      <c r="D4" s="58" t="s">
        <v>789</v>
      </c>
      <c r="E4" s="58">
        <v>861211</v>
      </c>
      <c r="F4" s="58">
        <v>96</v>
      </c>
      <c r="G4" s="58">
        <v>80611</v>
      </c>
      <c r="H4" s="69">
        <v>44684</v>
      </c>
      <c r="I4" s="88">
        <v>0.13</v>
      </c>
      <c r="J4" s="58">
        <v>920333.04</v>
      </c>
    </row>
    <row r="5" spans="1:10" ht="15">
      <c r="A5" s="58" t="s">
        <v>749</v>
      </c>
      <c r="B5" s="58" t="s">
        <v>790</v>
      </c>
      <c r="C5" s="58" t="s">
        <v>788</v>
      </c>
      <c r="D5" s="58" t="s">
        <v>791</v>
      </c>
      <c r="E5" s="58">
        <v>1118870</v>
      </c>
      <c r="F5" s="58">
        <v>59</v>
      </c>
      <c r="G5" s="58">
        <v>16478</v>
      </c>
      <c r="H5" s="69">
        <v>44569</v>
      </c>
      <c r="I5" s="88">
        <v>0.03</v>
      </c>
      <c r="J5" s="58">
        <v>617364.39</v>
      </c>
    </row>
    <row r="6" spans="1:10" ht="15">
      <c r="A6" s="58" t="s">
        <v>740</v>
      </c>
      <c r="B6" s="58" t="s">
        <v>792</v>
      </c>
      <c r="C6" s="58" t="s">
        <v>793</v>
      </c>
      <c r="D6" s="58" t="s">
        <v>791</v>
      </c>
      <c r="E6" s="58">
        <v>2156014</v>
      </c>
      <c r="F6" s="58">
        <v>20</v>
      </c>
      <c r="G6" s="58">
        <v>117588</v>
      </c>
      <c r="H6" s="69">
        <v>44968</v>
      </c>
      <c r="I6" s="88">
        <v>0.15</v>
      </c>
      <c r="J6" s="58">
        <v>795395.52</v>
      </c>
    </row>
    <row r="7" spans="1:10" ht="15">
      <c r="A7" s="58" t="s">
        <v>741</v>
      </c>
      <c r="B7" s="58" t="s">
        <v>787</v>
      </c>
      <c r="C7" s="58" t="s">
        <v>793</v>
      </c>
      <c r="D7" s="58" t="s">
        <v>789</v>
      </c>
      <c r="E7" s="58">
        <v>4539351</v>
      </c>
      <c r="F7" s="58">
        <v>20</v>
      </c>
      <c r="G7" s="58">
        <v>431168</v>
      </c>
      <c r="H7" s="69">
        <v>45537</v>
      </c>
      <c r="I7" s="88">
        <v>0.01</v>
      </c>
      <c r="J7" s="58">
        <v>1276152.46</v>
      </c>
    </row>
    <row r="8" spans="1:10" ht="15">
      <c r="A8" s="58" t="s">
        <v>743</v>
      </c>
      <c r="B8" s="58" t="s">
        <v>794</v>
      </c>
      <c r="C8" s="58" t="s">
        <v>795</v>
      </c>
      <c r="D8" s="58" t="s">
        <v>796</v>
      </c>
      <c r="E8" s="58">
        <v>1050132</v>
      </c>
      <c r="F8" s="58">
        <v>55</v>
      </c>
      <c r="G8" s="58">
        <v>50209</v>
      </c>
      <c r="H8" s="69">
        <v>44629</v>
      </c>
      <c r="I8" s="88">
        <v>0.41</v>
      </c>
      <c r="J8" s="58">
        <v>3374022.28</v>
      </c>
    </row>
    <row r="9" spans="1:10" ht="15">
      <c r="A9" s="58" t="s">
        <v>743</v>
      </c>
      <c r="B9" s="58" t="s">
        <v>797</v>
      </c>
      <c r="C9" s="58" t="s">
        <v>798</v>
      </c>
      <c r="D9" s="58" t="s">
        <v>791</v>
      </c>
      <c r="E9" s="58">
        <v>4805725</v>
      </c>
      <c r="F9" s="58">
        <v>71</v>
      </c>
      <c r="G9" s="58">
        <v>2560</v>
      </c>
      <c r="H9" s="69">
        <v>44572</v>
      </c>
      <c r="I9" s="88">
        <v>0.32</v>
      </c>
      <c r="J9" s="58">
        <v>1600411.98</v>
      </c>
    </row>
    <row r="10" spans="1:10" ht="15">
      <c r="A10" s="58" t="s">
        <v>745</v>
      </c>
      <c r="B10" s="58" t="s">
        <v>794</v>
      </c>
      <c r="C10" s="58" t="s">
        <v>799</v>
      </c>
      <c r="D10" s="58" t="s">
        <v>800</v>
      </c>
      <c r="E10" s="58">
        <v>2523822</v>
      </c>
      <c r="F10" s="58">
        <v>35</v>
      </c>
      <c r="G10" s="58">
        <v>298700</v>
      </c>
      <c r="H10" s="69">
        <v>44666</v>
      </c>
      <c r="I10" s="88">
        <v>0.18</v>
      </c>
      <c r="J10" s="58">
        <v>2009741.76</v>
      </c>
    </row>
    <row r="11" spans="1:10" ht="15">
      <c r="A11" s="58" t="s">
        <v>749</v>
      </c>
      <c r="B11" s="58" t="s">
        <v>797</v>
      </c>
      <c r="C11" s="58" t="s">
        <v>795</v>
      </c>
      <c r="D11" s="58" t="s">
        <v>801</v>
      </c>
      <c r="E11" s="58">
        <v>603228</v>
      </c>
      <c r="F11" s="58">
        <v>75</v>
      </c>
      <c r="G11" s="58">
        <v>168597</v>
      </c>
      <c r="H11" s="69">
        <v>44573</v>
      </c>
      <c r="I11" s="88">
        <v>0.17</v>
      </c>
      <c r="J11" s="58">
        <v>541009.43999999994</v>
      </c>
    </row>
    <row r="12" spans="1:10" ht="15">
      <c r="A12" s="58" t="s">
        <v>741</v>
      </c>
      <c r="B12" s="58" t="s">
        <v>802</v>
      </c>
      <c r="C12" s="58" t="s">
        <v>798</v>
      </c>
      <c r="D12" s="58" t="s">
        <v>803</v>
      </c>
      <c r="E12" s="58">
        <v>3920665</v>
      </c>
      <c r="F12" s="58">
        <v>77</v>
      </c>
      <c r="G12" s="58">
        <v>333393</v>
      </c>
      <c r="H12" s="69">
        <v>45000</v>
      </c>
      <c r="I12" s="88">
        <v>0.17</v>
      </c>
      <c r="J12" s="58">
        <v>1408342.08</v>
      </c>
    </row>
    <row r="13" spans="1:10" ht="15">
      <c r="A13" s="58" t="s">
        <v>744</v>
      </c>
      <c r="B13" s="58" t="s">
        <v>787</v>
      </c>
      <c r="C13" s="58" t="s">
        <v>798</v>
      </c>
      <c r="D13" s="58" t="s">
        <v>791</v>
      </c>
      <c r="E13" s="58">
        <v>2300862</v>
      </c>
      <c r="F13" s="58">
        <v>51</v>
      </c>
      <c r="G13" s="58">
        <v>226845</v>
      </c>
      <c r="H13" s="69">
        <v>45195</v>
      </c>
      <c r="I13" s="88">
        <v>0.34</v>
      </c>
      <c r="J13" s="58">
        <v>1752319.2</v>
      </c>
    </row>
    <row r="14" spans="1:10" ht="15">
      <c r="A14" s="58" t="s">
        <v>743</v>
      </c>
      <c r="B14" s="58" t="s">
        <v>804</v>
      </c>
      <c r="C14" s="58" t="s">
        <v>799</v>
      </c>
      <c r="D14" s="58" t="s">
        <v>805</v>
      </c>
      <c r="E14" s="58">
        <v>994915</v>
      </c>
      <c r="F14" s="58">
        <v>52</v>
      </c>
      <c r="G14" s="58">
        <v>160697</v>
      </c>
      <c r="H14" s="69">
        <v>44974</v>
      </c>
      <c r="I14" s="88">
        <v>0.14000000000000001</v>
      </c>
      <c r="J14" s="58">
        <v>210786.71</v>
      </c>
    </row>
    <row r="15" spans="1:10" ht="15">
      <c r="A15" s="58" t="s">
        <v>743</v>
      </c>
      <c r="B15" s="58" t="s">
        <v>797</v>
      </c>
      <c r="C15" s="58" t="s">
        <v>795</v>
      </c>
      <c r="D15" s="58" t="s">
        <v>806</v>
      </c>
      <c r="E15" s="58">
        <v>586391</v>
      </c>
      <c r="F15" s="58">
        <v>76</v>
      </c>
      <c r="G15" s="58">
        <v>112153</v>
      </c>
      <c r="H15" s="69">
        <v>44848</v>
      </c>
      <c r="I15" s="88">
        <v>0.24</v>
      </c>
      <c r="J15" s="58">
        <v>50580</v>
      </c>
    </row>
    <row r="16" spans="1:10" ht="15">
      <c r="A16" s="58" t="s">
        <v>747</v>
      </c>
      <c r="B16" s="58" t="s">
        <v>790</v>
      </c>
      <c r="C16" s="58" t="s">
        <v>807</v>
      </c>
      <c r="D16" s="58" t="s">
        <v>791</v>
      </c>
      <c r="E16" s="58">
        <v>2130912</v>
      </c>
      <c r="F16" s="58">
        <v>25</v>
      </c>
      <c r="G16" s="58">
        <v>275809</v>
      </c>
      <c r="H16" s="69">
        <v>44789</v>
      </c>
      <c r="I16" s="88">
        <v>0.25</v>
      </c>
      <c r="J16" s="58">
        <v>3055064.32</v>
      </c>
    </row>
    <row r="17" spans="1:10" ht="15">
      <c r="A17" s="58" t="s">
        <v>747</v>
      </c>
      <c r="B17" s="58" t="s">
        <v>808</v>
      </c>
      <c r="C17" s="58" t="s">
        <v>809</v>
      </c>
      <c r="D17" s="58" t="s">
        <v>810</v>
      </c>
      <c r="E17" s="58">
        <v>2713130</v>
      </c>
      <c r="F17" s="58">
        <v>54</v>
      </c>
      <c r="G17" s="58">
        <v>243012</v>
      </c>
      <c r="H17" s="69">
        <v>45646</v>
      </c>
      <c r="I17" s="88">
        <v>0.23</v>
      </c>
      <c r="J17" s="58">
        <v>2066000.72</v>
      </c>
    </row>
    <row r="18" spans="1:10" ht="15">
      <c r="A18" s="58" t="s">
        <v>742</v>
      </c>
      <c r="B18" s="58" t="s">
        <v>808</v>
      </c>
      <c r="C18" s="58" t="s">
        <v>788</v>
      </c>
      <c r="D18" s="58" t="s">
        <v>796</v>
      </c>
      <c r="E18" s="58">
        <v>808568</v>
      </c>
      <c r="F18" s="58">
        <v>24</v>
      </c>
      <c r="G18" s="58">
        <v>456771</v>
      </c>
      <c r="H18" s="69">
        <v>45095</v>
      </c>
      <c r="I18" s="88">
        <v>0.2</v>
      </c>
      <c r="J18" s="58">
        <v>1196733.3999999999</v>
      </c>
    </row>
    <row r="19" spans="1:10" ht="15">
      <c r="A19" s="58" t="s">
        <v>740</v>
      </c>
      <c r="B19" s="58" t="s">
        <v>797</v>
      </c>
      <c r="C19" s="58" t="s">
        <v>793</v>
      </c>
      <c r="D19" s="58" t="s">
        <v>791</v>
      </c>
      <c r="E19" s="58">
        <v>3086430</v>
      </c>
      <c r="F19" s="58">
        <v>22</v>
      </c>
      <c r="G19" s="58">
        <v>299659</v>
      </c>
      <c r="H19" s="69">
        <v>44658</v>
      </c>
      <c r="I19" s="88">
        <v>0.45</v>
      </c>
      <c r="J19" s="58">
        <v>418409.64</v>
      </c>
    </row>
    <row r="20" spans="1:10" ht="15">
      <c r="A20" s="58" t="s">
        <v>744</v>
      </c>
      <c r="B20" s="58" t="s">
        <v>809</v>
      </c>
      <c r="C20" s="58" t="s">
        <v>788</v>
      </c>
      <c r="D20" s="58" t="s">
        <v>811</v>
      </c>
      <c r="E20" s="58">
        <v>4249078</v>
      </c>
      <c r="F20" s="58">
        <v>18</v>
      </c>
      <c r="G20" s="58">
        <v>157389</v>
      </c>
      <c r="H20" s="69">
        <v>45282</v>
      </c>
      <c r="I20" s="88">
        <v>0.38</v>
      </c>
      <c r="J20" s="58">
        <v>2390881.7999999998</v>
      </c>
    </row>
    <row r="21" spans="1:10" ht="15">
      <c r="A21" s="58" t="s">
        <v>745</v>
      </c>
      <c r="B21" s="58" t="s">
        <v>797</v>
      </c>
      <c r="C21" s="58" t="s">
        <v>788</v>
      </c>
      <c r="D21" s="58" t="s">
        <v>791</v>
      </c>
      <c r="E21" s="58">
        <v>1825475</v>
      </c>
      <c r="F21" s="58">
        <v>36</v>
      </c>
      <c r="G21" s="58">
        <v>333350</v>
      </c>
      <c r="H21" s="69">
        <v>45600</v>
      </c>
      <c r="I21" s="88">
        <v>0.46</v>
      </c>
      <c r="J21" s="58">
        <v>1854706.12</v>
      </c>
    </row>
    <row r="22" spans="1:10" ht="15">
      <c r="A22" s="58" t="s">
        <v>745</v>
      </c>
      <c r="B22" s="58" t="s">
        <v>794</v>
      </c>
      <c r="C22" s="58" t="s">
        <v>793</v>
      </c>
      <c r="D22" s="58" t="s">
        <v>810</v>
      </c>
      <c r="E22" s="58">
        <v>2044411</v>
      </c>
      <c r="F22" s="58">
        <v>33</v>
      </c>
      <c r="G22" s="58">
        <v>386112</v>
      </c>
      <c r="H22" s="69">
        <v>44774</v>
      </c>
      <c r="I22" s="88">
        <v>0.43</v>
      </c>
      <c r="J22" s="58">
        <v>2312092.7200000002</v>
      </c>
    </row>
    <row r="23" spans="1:10" ht="15">
      <c r="A23" s="58" t="s">
        <v>745</v>
      </c>
      <c r="B23" s="58" t="s">
        <v>808</v>
      </c>
      <c r="C23" s="58" t="s">
        <v>807</v>
      </c>
      <c r="D23" s="58" t="s">
        <v>812</v>
      </c>
      <c r="E23" s="58">
        <v>2105761</v>
      </c>
      <c r="F23" s="58">
        <v>64</v>
      </c>
      <c r="G23" s="58">
        <v>78948</v>
      </c>
      <c r="H23" s="69">
        <v>45264</v>
      </c>
      <c r="I23" s="88">
        <v>0.17</v>
      </c>
      <c r="J23" s="58">
        <v>23983.05</v>
      </c>
    </row>
    <row r="24" spans="1:10" ht="15">
      <c r="A24" s="58" t="s">
        <v>744</v>
      </c>
      <c r="B24" s="58" t="s">
        <v>802</v>
      </c>
      <c r="C24" s="58" t="s">
        <v>798</v>
      </c>
      <c r="D24" s="58" t="s">
        <v>801</v>
      </c>
      <c r="E24" s="58">
        <v>4897155</v>
      </c>
      <c r="F24" s="58">
        <v>69</v>
      </c>
      <c r="G24" s="58">
        <v>318532</v>
      </c>
      <c r="H24" s="69">
        <v>44744</v>
      </c>
      <c r="I24" s="88">
        <v>0.24</v>
      </c>
      <c r="J24" s="58">
        <v>1244687.25</v>
      </c>
    </row>
    <row r="25" spans="1:10" ht="15">
      <c r="A25" s="58" t="s">
        <v>744</v>
      </c>
      <c r="B25" s="58" t="s">
        <v>794</v>
      </c>
      <c r="C25" s="58" t="s">
        <v>788</v>
      </c>
      <c r="D25" s="58" t="s">
        <v>813</v>
      </c>
      <c r="E25" s="58">
        <v>3246622</v>
      </c>
      <c r="F25" s="58">
        <v>70</v>
      </c>
      <c r="G25" s="58">
        <v>204652</v>
      </c>
      <c r="H25" s="69">
        <v>45330</v>
      </c>
      <c r="I25" s="88">
        <v>0.17</v>
      </c>
      <c r="J25" s="58">
        <v>1087602.6000000001</v>
      </c>
    </row>
    <row r="26" spans="1:10" ht="15">
      <c r="A26" s="58" t="s">
        <v>742</v>
      </c>
      <c r="B26" s="58" t="s">
        <v>792</v>
      </c>
      <c r="C26" s="58" t="s">
        <v>798</v>
      </c>
      <c r="D26" s="58" t="s">
        <v>805</v>
      </c>
      <c r="E26" s="58">
        <v>1069605</v>
      </c>
      <c r="F26" s="58">
        <v>39</v>
      </c>
      <c r="G26" s="58">
        <v>47902</v>
      </c>
      <c r="H26" s="69">
        <v>45295</v>
      </c>
      <c r="I26" s="88">
        <v>0.37</v>
      </c>
      <c r="J26" s="58">
        <v>3447808.4</v>
      </c>
    </row>
    <row r="27" spans="1:10" ht="15">
      <c r="A27" s="58" t="s">
        <v>743</v>
      </c>
      <c r="B27" s="58" t="s">
        <v>814</v>
      </c>
      <c r="C27" s="58" t="s">
        <v>799</v>
      </c>
      <c r="D27" s="58" t="s">
        <v>789</v>
      </c>
      <c r="E27" s="58">
        <v>4561637</v>
      </c>
      <c r="F27" s="58">
        <v>16</v>
      </c>
      <c r="G27" s="58">
        <v>91208</v>
      </c>
      <c r="H27" s="69">
        <v>44904</v>
      </c>
      <c r="I27" s="88">
        <v>0.06</v>
      </c>
      <c r="J27" s="58">
        <v>1238477.8799999999</v>
      </c>
    </row>
    <row r="28" spans="1:10" ht="15">
      <c r="A28" s="58" t="s">
        <v>745</v>
      </c>
      <c r="B28" s="58" t="s">
        <v>804</v>
      </c>
      <c r="C28" s="58" t="s">
        <v>788</v>
      </c>
      <c r="D28" s="58" t="s">
        <v>811</v>
      </c>
      <c r="E28" s="58">
        <v>2749600</v>
      </c>
      <c r="F28" s="58">
        <v>79</v>
      </c>
      <c r="G28" s="58">
        <v>331016</v>
      </c>
      <c r="H28" s="69">
        <v>45181</v>
      </c>
      <c r="I28" s="88">
        <v>0.49</v>
      </c>
      <c r="J28" s="58">
        <v>353556.63</v>
      </c>
    </row>
    <row r="29" spans="1:10" ht="15">
      <c r="A29" s="58" t="s">
        <v>749</v>
      </c>
      <c r="B29" s="58" t="s">
        <v>792</v>
      </c>
      <c r="C29" s="58" t="s">
        <v>788</v>
      </c>
      <c r="D29" s="58" t="s">
        <v>801</v>
      </c>
      <c r="E29" s="58">
        <v>3651270</v>
      </c>
      <c r="F29" s="58">
        <v>57</v>
      </c>
      <c r="G29" s="58">
        <v>323644</v>
      </c>
      <c r="H29" s="69">
        <v>45647</v>
      </c>
      <c r="I29" s="88">
        <v>0.38</v>
      </c>
      <c r="J29" s="58">
        <v>658268.52</v>
      </c>
    </row>
    <row r="30" spans="1:10" ht="15">
      <c r="A30" s="58" t="s">
        <v>749</v>
      </c>
      <c r="B30" s="58" t="s">
        <v>787</v>
      </c>
      <c r="C30" s="58" t="s">
        <v>795</v>
      </c>
      <c r="D30" s="58" t="s">
        <v>803</v>
      </c>
      <c r="E30" s="58">
        <v>3961691</v>
      </c>
      <c r="F30" s="58">
        <v>52</v>
      </c>
      <c r="G30" s="58">
        <v>266834</v>
      </c>
      <c r="H30" s="69">
        <v>45287</v>
      </c>
      <c r="I30" s="88">
        <v>0.32</v>
      </c>
      <c r="J30" s="58">
        <v>1043209.5</v>
      </c>
    </row>
    <row r="31" spans="1:10" ht="15">
      <c r="A31" s="58" t="s">
        <v>749</v>
      </c>
      <c r="B31" s="58" t="s">
        <v>794</v>
      </c>
      <c r="C31" s="58" t="s">
        <v>788</v>
      </c>
      <c r="D31" s="58" t="s">
        <v>800</v>
      </c>
      <c r="E31" s="58">
        <v>1835725</v>
      </c>
      <c r="F31" s="58">
        <v>67</v>
      </c>
      <c r="G31" s="58">
        <v>291816</v>
      </c>
      <c r="H31" s="69">
        <v>45447</v>
      </c>
      <c r="I31" s="88">
        <v>0.43</v>
      </c>
      <c r="J31" s="58">
        <v>3067831.77</v>
      </c>
    </row>
    <row r="32" spans="1:10" ht="15">
      <c r="A32" s="58" t="s">
        <v>744</v>
      </c>
      <c r="B32" s="58" t="s">
        <v>792</v>
      </c>
      <c r="C32" s="58" t="s">
        <v>807</v>
      </c>
      <c r="D32" s="58" t="s">
        <v>813</v>
      </c>
      <c r="E32" s="58">
        <v>3922417</v>
      </c>
      <c r="F32" s="58">
        <v>79</v>
      </c>
      <c r="G32" s="58">
        <v>312498</v>
      </c>
      <c r="H32" s="69">
        <v>45073</v>
      </c>
      <c r="I32" s="88">
        <v>0.44</v>
      </c>
      <c r="J32" s="58">
        <v>1093755.8999999999</v>
      </c>
    </row>
    <row r="33" spans="1:10" ht="15">
      <c r="A33" s="58" t="s">
        <v>749</v>
      </c>
      <c r="B33" s="58" t="s">
        <v>790</v>
      </c>
      <c r="C33" s="58" t="s">
        <v>799</v>
      </c>
      <c r="D33" s="58" t="s">
        <v>803</v>
      </c>
      <c r="E33" s="58">
        <v>4772527</v>
      </c>
      <c r="F33" s="58">
        <v>15</v>
      </c>
      <c r="G33" s="58">
        <v>132183</v>
      </c>
      <c r="H33" s="69">
        <v>45011</v>
      </c>
      <c r="I33" s="88">
        <v>0.44</v>
      </c>
      <c r="J33" s="58">
        <v>333222.89</v>
      </c>
    </row>
    <row r="34" spans="1:10" ht="15">
      <c r="A34" s="58" t="s">
        <v>742</v>
      </c>
      <c r="B34" s="58" t="s">
        <v>794</v>
      </c>
      <c r="C34" s="58" t="s">
        <v>809</v>
      </c>
      <c r="D34" s="58" t="s">
        <v>805</v>
      </c>
      <c r="E34" s="58">
        <v>4340492</v>
      </c>
      <c r="F34" s="58">
        <v>48</v>
      </c>
      <c r="G34" s="58">
        <v>189575</v>
      </c>
      <c r="H34" s="69">
        <v>45149</v>
      </c>
      <c r="I34" s="88">
        <v>0.01</v>
      </c>
      <c r="J34" s="58">
        <v>1667168.96</v>
      </c>
    </row>
    <row r="35" spans="1:10" ht="15">
      <c r="A35" s="58" t="s">
        <v>744</v>
      </c>
      <c r="B35" s="58" t="s">
        <v>814</v>
      </c>
      <c r="C35" s="58" t="s">
        <v>795</v>
      </c>
      <c r="D35" s="58" t="s">
        <v>805</v>
      </c>
      <c r="E35" s="58">
        <v>1910421</v>
      </c>
      <c r="F35" s="58">
        <v>9</v>
      </c>
      <c r="G35" s="58">
        <v>34228</v>
      </c>
      <c r="H35" s="69">
        <v>45358</v>
      </c>
      <c r="I35" s="88">
        <v>0.35</v>
      </c>
      <c r="J35" s="58">
        <v>1591237.44</v>
      </c>
    </row>
    <row r="36" spans="1:10" ht="15">
      <c r="A36" s="58" t="s">
        <v>745</v>
      </c>
      <c r="B36" s="58" t="s">
        <v>790</v>
      </c>
      <c r="C36" s="58" t="s">
        <v>795</v>
      </c>
      <c r="D36" s="58" t="s">
        <v>812</v>
      </c>
      <c r="E36" s="58">
        <v>1201586</v>
      </c>
      <c r="F36" s="58">
        <v>68</v>
      </c>
      <c r="G36" s="58">
        <v>59535</v>
      </c>
      <c r="H36" s="69">
        <v>45451</v>
      </c>
      <c r="I36" s="88">
        <v>0.31</v>
      </c>
      <c r="J36" s="58">
        <v>2311118.7200000002</v>
      </c>
    </row>
    <row r="37" spans="1:10" ht="15">
      <c r="A37" s="58" t="s">
        <v>740</v>
      </c>
      <c r="B37" s="58" t="s">
        <v>790</v>
      </c>
      <c r="C37" s="58" t="s">
        <v>798</v>
      </c>
      <c r="D37" s="58" t="s">
        <v>806</v>
      </c>
      <c r="E37" s="58">
        <v>1125765</v>
      </c>
      <c r="F37" s="58">
        <v>68</v>
      </c>
      <c r="G37" s="58">
        <v>175734</v>
      </c>
      <c r="H37" s="69">
        <v>44615</v>
      </c>
      <c r="I37" s="88">
        <v>0.3</v>
      </c>
      <c r="J37" s="58">
        <v>2000016.48</v>
      </c>
    </row>
    <row r="38" spans="1:10" ht="15">
      <c r="A38" s="58" t="s">
        <v>749</v>
      </c>
      <c r="B38" s="58" t="s">
        <v>797</v>
      </c>
      <c r="C38" s="58" t="s">
        <v>788</v>
      </c>
      <c r="D38" s="58" t="s">
        <v>791</v>
      </c>
      <c r="E38" s="58">
        <v>4530523</v>
      </c>
      <c r="F38" s="58">
        <v>36</v>
      </c>
      <c r="G38" s="58">
        <v>38106</v>
      </c>
      <c r="H38" s="69">
        <v>45532</v>
      </c>
      <c r="I38" s="88">
        <v>0.27</v>
      </c>
      <c r="J38" s="58">
        <v>2723328.85</v>
      </c>
    </row>
    <row r="39" spans="1:10" ht="15">
      <c r="A39" s="58" t="s">
        <v>746</v>
      </c>
      <c r="B39" s="58" t="s">
        <v>787</v>
      </c>
      <c r="C39" s="58" t="s">
        <v>795</v>
      </c>
      <c r="D39" s="58" t="s">
        <v>796</v>
      </c>
      <c r="E39" s="58">
        <v>4218622</v>
      </c>
      <c r="F39" s="58">
        <v>68</v>
      </c>
      <c r="G39" s="58">
        <v>58595</v>
      </c>
      <c r="H39" s="69">
        <v>45028</v>
      </c>
      <c r="I39" s="88">
        <v>0.45</v>
      </c>
      <c r="J39" s="58">
        <v>2498169.4</v>
      </c>
    </row>
    <row r="40" spans="1:10" ht="15">
      <c r="A40" s="58" t="s">
        <v>744</v>
      </c>
      <c r="B40" s="58" t="s">
        <v>797</v>
      </c>
      <c r="C40" s="58" t="s">
        <v>788</v>
      </c>
      <c r="D40" s="58" t="s">
        <v>789</v>
      </c>
      <c r="E40" s="58">
        <v>4087798</v>
      </c>
      <c r="F40" s="58">
        <v>19</v>
      </c>
      <c r="G40" s="58">
        <v>302910</v>
      </c>
      <c r="H40" s="69">
        <v>44816</v>
      </c>
      <c r="I40" s="88">
        <v>0.15</v>
      </c>
      <c r="J40" s="58">
        <v>691933.68</v>
      </c>
    </row>
    <row r="41" spans="1:10" ht="15">
      <c r="A41" s="58" t="s">
        <v>740</v>
      </c>
      <c r="B41" s="58" t="s">
        <v>814</v>
      </c>
      <c r="C41" s="58" t="s">
        <v>809</v>
      </c>
      <c r="D41" s="58" t="s">
        <v>805</v>
      </c>
      <c r="E41" s="58">
        <v>4541060</v>
      </c>
      <c r="F41" s="58">
        <v>90</v>
      </c>
      <c r="G41" s="58">
        <v>186740</v>
      </c>
      <c r="H41" s="69">
        <v>45266</v>
      </c>
      <c r="I41" s="88">
        <v>0.1</v>
      </c>
      <c r="J41" s="58">
        <v>2970157.12</v>
      </c>
    </row>
    <row r="42" spans="1:10" ht="15">
      <c r="A42" s="58" t="s">
        <v>749</v>
      </c>
      <c r="B42" s="58" t="s">
        <v>814</v>
      </c>
      <c r="C42" s="58" t="s">
        <v>788</v>
      </c>
      <c r="D42" s="58" t="s">
        <v>812</v>
      </c>
      <c r="E42" s="58">
        <v>2834665</v>
      </c>
      <c r="F42" s="58">
        <v>36</v>
      </c>
      <c r="G42" s="58">
        <v>117715</v>
      </c>
      <c r="H42" s="69">
        <v>45602</v>
      </c>
      <c r="I42" s="88">
        <v>0.14000000000000001</v>
      </c>
      <c r="J42" s="58">
        <v>1706114.9</v>
      </c>
    </row>
    <row r="43" spans="1:10" ht="15">
      <c r="A43" s="58" t="s">
        <v>746</v>
      </c>
      <c r="B43" s="58" t="s">
        <v>804</v>
      </c>
      <c r="C43" s="58" t="s">
        <v>788</v>
      </c>
      <c r="D43" s="58" t="s">
        <v>813</v>
      </c>
      <c r="E43" s="58">
        <v>1011183</v>
      </c>
      <c r="F43" s="58">
        <v>4</v>
      </c>
      <c r="G43" s="58">
        <v>226263</v>
      </c>
      <c r="H43" s="69">
        <v>45639</v>
      </c>
      <c r="I43" s="88">
        <v>0.28000000000000003</v>
      </c>
      <c r="J43" s="58">
        <v>1951570.4</v>
      </c>
    </row>
    <row r="44" spans="1:10" ht="15">
      <c r="A44" s="58" t="s">
        <v>741</v>
      </c>
      <c r="B44" s="58" t="s">
        <v>804</v>
      </c>
      <c r="C44" s="58" t="s">
        <v>809</v>
      </c>
      <c r="D44" s="58" t="s">
        <v>791</v>
      </c>
      <c r="E44" s="58">
        <v>3698239</v>
      </c>
      <c r="F44" s="58">
        <v>88</v>
      </c>
      <c r="G44" s="58">
        <v>473654</v>
      </c>
      <c r="H44" s="69">
        <v>44768</v>
      </c>
      <c r="I44" s="88">
        <v>0.28000000000000003</v>
      </c>
      <c r="J44" s="58">
        <v>3642141.72</v>
      </c>
    </row>
    <row r="45" spans="1:10" ht="15">
      <c r="A45" s="58" t="s">
        <v>748</v>
      </c>
      <c r="B45" s="58" t="s">
        <v>792</v>
      </c>
      <c r="C45" s="58" t="s">
        <v>788</v>
      </c>
      <c r="D45" s="58" t="s">
        <v>803</v>
      </c>
      <c r="E45" s="58">
        <v>2627265</v>
      </c>
      <c r="F45" s="58">
        <v>94</v>
      </c>
      <c r="G45" s="58">
        <v>132037</v>
      </c>
      <c r="H45" s="69">
        <v>44766</v>
      </c>
      <c r="I45" s="88">
        <v>0.2</v>
      </c>
      <c r="J45" s="58">
        <v>2440073.6800000002</v>
      </c>
    </row>
    <row r="46" spans="1:10" ht="15">
      <c r="A46" s="58" t="s">
        <v>749</v>
      </c>
      <c r="B46" s="58" t="s">
        <v>794</v>
      </c>
      <c r="C46" s="58" t="s">
        <v>807</v>
      </c>
      <c r="D46" s="58" t="s">
        <v>810</v>
      </c>
      <c r="E46" s="58">
        <v>4895055</v>
      </c>
      <c r="F46" s="58">
        <v>8</v>
      </c>
      <c r="G46" s="58">
        <v>166734</v>
      </c>
      <c r="H46" s="69">
        <v>44900</v>
      </c>
      <c r="I46" s="88">
        <v>0.05</v>
      </c>
      <c r="J46" s="58">
        <v>1294133.51</v>
      </c>
    </row>
    <row r="47" spans="1:10" ht="15">
      <c r="A47" s="58" t="s">
        <v>740</v>
      </c>
      <c r="B47" s="58" t="s">
        <v>787</v>
      </c>
      <c r="C47" s="58" t="s">
        <v>799</v>
      </c>
      <c r="D47" s="58" t="s">
        <v>796</v>
      </c>
      <c r="E47" s="58">
        <v>632679</v>
      </c>
      <c r="F47" s="58">
        <v>12</v>
      </c>
      <c r="G47" s="58">
        <v>495313</v>
      </c>
      <c r="H47" s="69">
        <v>44781</v>
      </c>
      <c r="I47" s="88">
        <v>0.11</v>
      </c>
      <c r="J47" s="58">
        <v>2779206.97</v>
      </c>
    </row>
    <row r="48" spans="1:10" ht="15">
      <c r="A48" s="58" t="s">
        <v>745</v>
      </c>
      <c r="B48" s="58" t="s">
        <v>797</v>
      </c>
      <c r="C48" s="58" t="s">
        <v>798</v>
      </c>
      <c r="D48" s="58" t="s">
        <v>805</v>
      </c>
      <c r="E48" s="58">
        <v>3168502</v>
      </c>
      <c r="F48" s="58">
        <v>50</v>
      </c>
      <c r="G48" s="58">
        <v>425082</v>
      </c>
      <c r="H48" s="69">
        <v>45033</v>
      </c>
      <c r="I48" s="88">
        <v>0.28000000000000003</v>
      </c>
      <c r="J48" s="58">
        <v>2451117.5099999998</v>
      </c>
    </row>
    <row r="49" spans="1:10" ht="15">
      <c r="A49" s="58" t="s">
        <v>743</v>
      </c>
      <c r="B49" s="58" t="s">
        <v>809</v>
      </c>
      <c r="C49" s="58" t="s">
        <v>788</v>
      </c>
      <c r="D49" s="58" t="s">
        <v>810</v>
      </c>
      <c r="E49" s="58">
        <v>2043711</v>
      </c>
      <c r="F49" s="58">
        <v>98</v>
      </c>
      <c r="G49" s="58">
        <v>59932</v>
      </c>
      <c r="H49" s="69">
        <v>45615</v>
      </c>
      <c r="I49" s="88">
        <v>0.31</v>
      </c>
      <c r="J49" s="58">
        <v>572404.44999999995</v>
      </c>
    </row>
    <row r="50" spans="1:10" ht="15">
      <c r="A50" s="58" t="s">
        <v>747</v>
      </c>
      <c r="B50" s="58" t="s">
        <v>814</v>
      </c>
      <c r="C50" s="58" t="s">
        <v>807</v>
      </c>
      <c r="D50" s="58" t="s">
        <v>813</v>
      </c>
      <c r="E50" s="58">
        <v>263042</v>
      </c>
      <c r="F50" s="58">
        <v>35</v>
      </c>
      <c r="G50" s="58">
        <v>187740</v>
      </c>
      <c r="H50" s="69">
        <v>45007</v>
      </c>
      <c r="I50" s="88">
        <v>0.31</v>
      </c>
      <c r="J50" s="58">
        <v>4265399.5999999996</v>
      </c>
    </row>
    <row r="51" spans="1:10" ht="15">
      <c r="A51" s="58" t="s">
        <v>747</v>
      </c>
      <c r="B51" s="58" t="s">
        <v>790</v>
      </c>
      <c r="C51" s="58" t="s">
        <v>798</v>
      </c>
      <c r="D51" s="58" t="s">
        <v>805</v>
      </c>
      <c r="E51" s="58">
        <v>3237190</v>
      </c>
      <c r="F51" s="58">
        <v>61</v>
      </c>
      <c r="G51" s="58">
        <v>397151</v>
      </c>
      <c r="H51" s="69">
        <v>45053</v>
      </c>
      <c r="I51" s="88">
        <v>0.01</v>
      </c>
      <c r="J51" s="58">
        <v>455937.21</v>
      </c>
    </row>
    <row r="52" spans="1:10" ht="15">
      <c r="A52" s="58" t="s">
        <v>744</v>
      </c>
      <c r="B52" s="58" t="s">
        <v>804</v>
      </c>
      <c r="C52" s="58" t="s">
        <v>793</v>
      </c>
      <c r="D52" s="58" t="s">
        <v>803</v>
      </c>
      <c r="E52" s="58">
        <v>322971</v>
      </c>
      <c r="F52" s="58">
        <v>22</v>
      </c>
      <c r="G52" s="58">
        <v>296623</v>
      </c>
      <c r="H52" s="69">
        <v>44564</v>
      </c>
      <c r="I52" s="88">
        <v>0.49</v>
      </c>
      <c r="J52" s="58">
        <v>792440.04</v>
      </c>
    </row>
    <row r="53" spans="1:10" ht="15">
      <c r="A53" s="58" t="s">
        <v>743</v>
      </c>
      <c r="B53" s="58" t="s">
        <v>790</v>
      </c>
      <c r="C53" s="58" t="s">
        <v>793</v>
      </c>
      <c r="D53" s="58" t="s">
        <v>806</v>
      </c>
      <c r="E53" s="58">
        <v>398263</v>
      </c>
      <c r="F53" s="58">
        <v>17</v>
      </c>
      <c r="G53" s="58">
        <v>175223</v>
      </c>
      <c r="H53" s="69">
        <v>44908</v>
      </c>
      <c r="I53" s="88">
        <v>0.08</v>
      </c>
      <c r="J53" s="58">
        <v>3367811.52</v>
      </c>
    </row>
    <row r="54" spans="1:10" ht="15">
      <c r="A54" s="58" t="s">
        <v>749</v>
      </c>
      <c r="B54" s="58" t="s">
        <v>797</v>
      </c>
      <c r="C54" s="58" t="s">
        <v>799</v>
      </c>
      <c r="D54" s="58" t="s">
        <v>810</v>
      </c>
      <c r="E54" s="58">
        <v>2815940</v>
      </c>
      <c r="F54" s="58">
        <v>76</v>
      </c>
      <c r="G54" s="58">
        <v>496631</v>
      </c>
      <c r="H54" s="69">
        <v>45417</v>
      </c>
      <c r="I54" s="88">
        <v>0.49</v>
      </c>
      <c r="J54" s="58">
        <v>486623.19</v>
      </c>
    </row>
    <row r="55" spans="1:10" ht="15">
      <c r="A55" s="58" t="s">
        <v>740</v>
      </c>
      <c r="B55" s="58" t="s">
        <v>792</v>
      </c>
      <c r="C55" s="58" t="s">
        <v>793</v>
      </c>
      <c r="D55" s="58" t="s">
        <v>801</v>
      </c>
      <c r="E55" s="58">
        <v>3062185</v>
      </c>
      <c r="F55" s="58">
        <v>77</v>
      </c>
      <c r="G55" s="58">
        <v>168392</v>
      </c>
      <c r="H55" s="69">
        <v>45605</v>
      </c>
      <c r="I55" s="88">
        <v>0.02</v>
      </c>
      <c r="J55" s="58">
        <v>3008686.35</v>
      </c>
    </row>
    <row r="56" spans="1:10" ht="15">
      <c r="A56" s="58" t="s">
        <v>745</v>
      </c>
      <c r="B56" s="58" t="s">
        <v>804</v>
      </c>
      <c r="C56" s="58" t="s">
        <v>807</v>
      </c>
      <c r="D56" s="58" t="s">
        <v>805</v>
      </c>
      <c r="E56" s="58">
        <v>2696142</v>
      </c>
      <c r="F56" s="58">
        <v>25</v>
      </c>
      <c r="G56" s="58">
        <v>377050</v>
      </c>
      <c r="H56" s="69">
        <v>45080</v>
      </c>
      <c r="I56" s="88">
        <v>0.31</v>
      </c>
      <c r="J56" s="58">
        <v>4499549.67</v>
      </c>
    </row>
    <row r="57" spans="1:10" ht="15">
      <c r="A57" s="58" t="s">
        <v>748</v>
      </c>
      <c r="B57" s="58" t="s">
        <v>790</v>
      </c>
      <c r="C57" s="58" t="s">
        <v>809</v>
      </c>
      <c r="D57" s="58" t="s">
        <v>811</v>
      </c>
      <c r="E57" s="58">
        <v>3976701</v>
      </c>
      <c r="F57" s="58">
        <v>94</v>
      </c>
      <c r="G57" s="58">
        <v>304628</v>
      </c>
      <c r="H57" s="69">
        <v>45036</v>
      </c>
      <c r="I57" s="88">
        <v>0.1</v>
      </c>
      <c r="J57" s="58">
        <v>34202.559999999998</v>
      </c>
    </row>
    <row r="58" spans="1:10" ht="15">
      <c r="A58" s="58" t="s">
        <v>745</v>
      </c>
      <c r="B58" s="58" t="s">
        <v>790</v>
      </c>
      <c r="C58" s="58" t="s">
        <v>809</v>
      </c>
      <c r="D58" s="58" t="s">
        <v>811</v>
      </c>
      <c r="E58" s="58">
        <v>1251490</v>
      </c>
      <c r="F58" s="58">
        <v>63</v>
      </c>
      <c r="G58" s="58">
        <v>244952</v>
      </c>
      <c r="H58" s="69">
        <v>45293</v>
      </c>
      <c r="I58" s="88">
        <v>7.0000000000000007E-2</v>
      </c>
      <c r="J58" s="58">
        <v>2841143.8</v>
      </c>
    </row>
    <row r="59" spans="1:10" ht="15">
      <c r="A59" s="58" t="s">
        <v>745</v>
      </c>
      <c r="B59" s="58" t="s">
        <v>790</v>
      </c>
      <c r="C59" s="58" t="s">
        <v>799</v>
      </c>
      <c r="D59" s="58" t="s">
        <v>812</v>
      </c>
      <c r="E59" s="58">
        <v>3186092</v>
      </c>
      <c r="F59" s="58">
        <v>28</v>
      </c>
      <c r="G59" s="58">
        <v>45883</v>
      </c>
      <c r="H59" s="69">
        <v>45012</v>
      </c>
      <c r="I59" s="88">
        <v>7.0000000000000007E-2</v>
      </c>
      <c r="J59" s="58">
        <v>1597649.48</v>
      </c>
    </row>
    <row r="60" spans="1:10" ht="15">
      <c r="A60" s="58" t="s">
        <v>740</v>
      </c>
      <c r="B60" s="58" t="s">
        <v>787</v>
      </c>
      <c r="C60" s="58" t="s">
        <v>788</v>
      </c>
      <c r="D60" s="58" t="s">
        <v>815</v>
      </c>
      <c r="E60" s="58">
        <v>1129378</v>
      </c>
      <c r="F60" s="58">
        <v>24</v>
      </c>
      <c r="G60" s="58">
        <v>443033</v>
      </c>
      <c r="H60" s="69">
        <v>45439</v>
      </c>
      <c r="I60" s="88">
        <v>0.46</v>
      </c>
      <c r="J60" s="58">
        <v>48775.23</v>
      </c>
    </row>
    <row r="61" spans="1:10" ht="15">
      <c r="A61" s="58" t="s">
        <v>745</v>
      </c>
      <c r="B61" s="58" t="s">
        <v>814</v>
      </c>
      <c r="C61" s="58" t="s">
        <v>807</v>
      </c>
      <c r="D61" s="58" t="s">
        <v>796</v>
      </c>
      <c r="E61" s="58">
        <v>988504</v>
      </c>
      <c r="F61" s="58">
        <v>26</v>
      </c>
      <c r="G61" s="58">
        <v>46086</v>
      </c>
      <c r="H61" s="69">
        <v>45539</v>
      </c>
      <c r="I61" s="88">
        <v>0.46</v>
      </c>
      <c r="J61" s="58">
        <v>475885.59</v>
      </c>
    </row>
    <row r="62" spans="1:10" ht="15">
      <c r="A62" s="58" t="s">
        <v>740</v>
      </c>
      <c r="B62" s="58" t="s">
        <v>814</v>
      </c>
      <c r="C62" s="58" t="s">
        <v>807</v>
      </c>
      <c r="D62" s="58" t="s">
        <v>811</v>
      </c>
      <c r="E62" s="58">
        <v>578200</v>
      </c>
      <c r="F62" s="58">
        <v>51</v>
      </c>
      <c r="G62" s="58">
        <v>331728</v>
      </c>
      <c r="H62" s="69">
        <v>45367</v>
      </c>
      <c r="I62" s="88">
        <v>0.32</v>
      </c>
      <c r="J62" s="58">
        <v>1847979.09</v>
      </c>
    </row>
    <row r="63" spans="1:10" ht="15">
      <c r="A63" s="58" t="s">
        <v>740</v>
      </c>
      <c r="B63" s="58" t="s">
        <v>790</v>
      </c>
      <c r="C63" s="58" t="s">
        <v>807</v>
      </c>
      <c r="D63" s="58" t="s">
        <v>796</v>
      </c>
      <c r="E63" s="58">
        <v>1172745</v>
      </c>
      <c r="F63" s="58">
        <v>72</v>
      </c>
      <c r="G63" s="58">
        <v>254002</v>
      </c>
      <c r="H63" s="69">
        <v>45638</v>
      </c>
      <c r="I63" s="88">
        <v>0.31</v>
      </c>
      <c r="J63" s="58">
        <v>1616827.5</v>
      </c>
    </row>
    <row r="64" spans="1:10" ht="15">
      <c r="A64" s="58" t="s">
        <v>744</v>
      </c>
      <c r="B64" s="58" t="s">
        <v>809</v>
      </c>
      <c r="C64" s="58" t="s">
        <v>799</v>
      </c>
      <c r="D64" s="58" t="s">
        <v>805</v>
      </c>
      <c r="E64" s="58">
        <v>1613636</v>
      </c>
      <c r="F64" s="58">
        <v>15</v>
      </c>
      <c r="G64" s="58">
        <v>67291</v>
      </c>
      <c r="H64" s="69">
        <v>44986</v>
      </c>
      <c r="I64" s="88">
        <v>0.31</v>
      </c>
      <c r="J64" s="58">
        <v>102538.6</v>
      </c>
    </row>
    <row r="65" spans="1:10" ht="15">
      <c r="A65" s="58" t="s">
        <v>743</v>
      </c>
      <c r="B65" s="58" t="s">
        <v>804</v>
      </c>
      <c r="C65" s="58" t="s">
        <v>809</v>
      </c>
      <c r="D65" s="58" t="s">
        <v>796</v>
      </c>
      <c r="E65" s="58">
        <v>3596489</v>
      </c>
      <c r="F65" s="58">
        <v>1</v>
      </c>
      <c r="G65" s="58">
        <v>421821</v>
      </c>
      <c r="H65" s="69">
        <v>44582</v>
      </c>
      <c r="I65" s="88">
        <v>0.4</v>
      </c>
      <c r="J65" s="58">
        <v>4160082.24</v>
      </c>
    </row>
    <row r="66" spans="1:10" ht="15">
      <c r="A66" s="58" t="s">
        <v>746</v>
      </c>
      <c r="B66" s="58" t="s">
        <v>790</v>
      </c>
      <c r="C66" s="58" t="s">
        <v>798</v>
      </c>
      <c r="D66" s="58" t="s">
        <v>791</v>
      </c>
      <c r="E66" s="58">
        <v>3770161</v>
      </c>
      <c r="F66" s="58">
        <v>11</v>
      </c>
      <c r="G66" s="58">
        <v>11277</v>
      </c>
      <c r="H66" s="69">
        <v>44897</v>
      </c>
      <c r="I66" s="88">
        <v>0.2</v>
      </c>
      <c r="J66" s="58">
        <v>782422.74</v>
      </c>
    </row>
    <row r="67" spans="1:10" ht="15">
      <c r="A67" s="58" t="s">
        <v>749</v>
      </c>
      <c r="B67" s="58" t="s">
        <v>814</v>
      </c>
      <c r="C67" s="58" t="s">
        <v>793</v>
      </c>
      <c r="D67" s="58" t="s">
        <v>803</v>
      </c>
      <c r="E67" s="58">
        <v>4254971</v>
      </c>
      <c r="F67" s="58">
        <v>25</v>
      </c>
      <c r="G67" s="58">
        <v>299812</v>
      </c>
      <c r="H67" s="69">
        <v>45126</v>
      </c>
      <c r="I67" s="88">
        <v>0.5</v>
      </c>
      <c r="J67" s="58">
        <v>956425.68</v>
      </c>
    </row>
    <row r="68" spans="1:10" ht="15">
      <c r="A68" s="58" t="s">
        <v>748</v>
      </c>
      <c r="B68" s="58" t="s">
        <v>792</v>
      </c>
      <c r="C68" s="58" t="s">
        <v>798</v>
      </c>
      <c r="D68" s="58" t="s">
        <v>800</v>
      </c>
      <c r="E68" s="58">
        <v>4649520</v>
      </c>
      <c r="F68" s="58">
        <v>83</v>
      </c>
      <c r="G68" s="58">
        <v>272237</v>
      </c>
      <c r="H68" s="69">
        <v>45048</v>
      </c>
      <c r="I68" s="88">
        <v>0.3</v>
      </c>
      <c r="J68" s="58">
        <v>1935015.38</v>
      </c>
    </row>
    <row r="69" spans="1:10" ht="15">
      <c r="A69" s="58" t="s">
        <v>741</v>
      </c>
      <c r="B69" s="58" t="s">
        <v>814</v>
      </c>
      <c r="C69" s="58" t="s">
        <v>799</v>
      </c>
      <c r="D69" s="58" t="s">
        <v>789</v>
      </c>
      <c r="E69" s="58">
        <v>2620750</v>
      </c>
      <c r="F69" s="58">
        <v>72</v>
      </c>
      <c r="G69" s="58">
        <v>164861</v>
      </c>
      <c r="H69" s="69">
        <v>45095</v>
      </c>
      <c r="I69" s="88">
        <v>0.32</v>
      </c>
      <c r="J69" s="58">
        <v>710669.7</v>
      </c>
    </row>
    <row r="70" spans="1:10" ht="15">
      <c r="A70" s="58" t="s">
        <v>740</v>
      </c>
      <c r="B70" s="58" t="s">
        <v>814</v>
      </c>
      <c r="C70" s="58" t="s">
        <v>793</v>
      </c>
      <c r="D70" s="58" t="s">
        <v>800</v>
      </c>
      <c r="E70" s="58">
        <v>365784</v>
      </c>
      <c r="F70" s="58">
        <v>28</v>
      </c>
      <c r="G70" s="58">
        <v>440972</v>
      </c>
      <c r="H70" s="69">
        <v>44939</v>
      </c>
      <c r="I70" s="88">
        <v>0.26</v>
      </c>
      <c r="J70" s="58">
        <v>2429316.83</v>
      </c>
    </row>
    <row r="71" spans="1:10" ht="15">
      <c r="A71" s="58" t="s">
        <v>747</v>
      </c>
      <c r="B71" s="58" t="s">
        <v>790</v>
      </c>
      <c r="C71" s="58" t="s">
        <v>809</v>
      </c>
      <c r="D71" s="58" t="s">
        <v>791</v>
      </c>
      <c r="E71" s="58">
        <v>4464547</v>
      </c>
      <c r="F71" s="58">
        <v>71</v>
      </c>
      <c r="G71" s="58">
        <v>139218</v>
      </c>
      <c r="H71" s="69">
        <v>44597</v>
      </c>
      <c r="I71" s="88">
        <v>0.24</v>
      </c>
      <c r="J71" s="58">
        <v>400177.12</v>
      </c>
    </row>
    <row r="72" spans="1:10" ht="15">
      <c r="A72" s="58" t="s">
        <v>745</v>
      </c>
      <c r="B72" s="58" t="s">
        <v>797</v>
      </c>
      <c r="C72" s="58" t="s">
        <v>799</v>
      </c>
      <c r="D72" s="58" t="s">
        <v>810</v>
      </c>
      <c r="E72" s="58">
        <v>3759110</v>
      </c>
      <c r="F72" s="58">
        <v>29</v>
      </c>
      <c r="G72" s="58">
        <v>406006</v>
      </c>
      <c r="H72" s="69">
        <v>44624</v>
      </c>
      <c r="I72" s="88">
        <v>0.09</v>
      </c>
      <c r="J72" s="58">
        <v>1571627.4</v>
      </c>
    </row>
    <row r="73" spans="1:10" ht="15">
      <c r="A73" s="58" t="s">
        <v>748</v>
      </c>
      <c r="B73" s="58" t="s">
        <v>804</v>
      </c>
      <c r="C73" s="58" t="s">
        <v>807</v>
      </c>
      <c r="D73" s="58" t="s">
        <v>811</v>
      </c>
      <c r="E73" s="58">
        <v>3421190</v>
      </c>
      <c r="F73" s="58">
        <v>99</v>
      </c>
      <c r="G73" s="58">
        <v>337959</v>
      </c>
      <c r="H73" s="69">
        <v>45060</v>
      </c>
      <c r="I73" s="88">
        <v>0.4</v>
      </c>
      <c r="J73" s="58">
        <v>375753.3</v>
      </c>
    </row>
    <row r="74" spans="1:10" ht="15">
      <c r="A74" s="58" t="s">
        <v>741</v>
      </c>
      <c r="B74" s="58" t="s">
        <v>794</v>
      </c>
      <c r="C74" s="58" t="s">
        <v>793</v>
      </c>
      <c r="D74" s="58" t="s">
        <v>805</v>
      </c>
      <c r="E74" s="58">
        <v>778844</v>
      </c>
      <c r="F74" s="58">
        <v>20</v>
      </c>
      <c r="G74" s="58">
        <v>261258</v>
      </c>
      <c r="H74" s="69">
        <v>45082</v>
      </c>
      <c r="I74" s="88">
        <v>0.25</v>
      </c>
      <c r="J74" s="58">
        <v>58056.959999999999</v>
      </c>
    </row>
    <row r="75" spans="1:10" ht="15">
      <c r="A75" s="58" t="s">
        <v>740</v>
      </c>
      <c r="B75" s="58" t="s">
        <v>808</v>
      </c>
      <c r="C75" s="58" t="s">
        <v>795</v>
      </c>
      <c r="D75" s="58" t="s">
        <v>806</v>
      </c>
      <c r="E75" s="58">
        <v>4071886</v>
      </c>
      <c r="F75" s="58">
        <v>1</v>
      </c>
      <c r="G75" s="58">
        <v>335716</v>
      </c>
      <c r="H75" s="69">
        <v>45002</v>
      </c>
      <c r="I75" s="88">
        <v>0.49</v>
      </c>
      <c r="J75" s="58">
        <v>2616466.3199999998</v>
      </c>
    </row>
    <row r="76" spans="1:10" ht="15">
      <c r="A76" s="58" t="s">
        <v>749</v>
      </c>
      <c r="B76" s="58" t="s">
        <v>804</v>
      </c>
      <c r="C76" s="58" t="s">
        <v>799</v>
      </c>
      <c r="D76" s="58" t="s">
        <v>789</v>
      </c>
      <c r="E76" s="58">
        <v>3655037</v>
      </c>
      <c r="F76" s="58">
        <v>91</v>
      </c>
      <c r="G76" s="58">
        <v>392328</v>
      </c>
      <c r="H76" s="69">
        <v>44766</v>
      </c>
      <c r="I76" s="88">
        <v>0.03</v>
      </c>
      <c r="J76" s="58">
        <v>411964.5</v>
      </c>
    </row>
    <row r="77" spans="1:10" ht="15">
      <c r="A77" s="58" t="s">
        <v>749</v>
      </c>
      <c r="B77" s="58" t="s">
        <v>814</v>
      </c>
      <c r="C77" s="58" t="s">
        <v>788</v>
      </c>
      <c r="D77" s="58" t="s">
        <v>791</v>
      </c>
      <c r="E77" s="58">
        <v>1796125</v>
      </c>
      <c r="F77" s="58">
        <v>13</v>
      </c>
      <c r="G77" s="58">
        <v>120252</v>
      </c>
      <c r="H77" s="69">
        <v>44776</v>
      </c>
      <c r="I77" s="88">
        <v>0.12</v>
      </c>
      <c r="J77" s="58">
        <v>1619665.6</v>
      </c>
    </row>
    <row r="78" spans="1:10" ht="15">
      <c r="A78" s="58" t="s">
        <v>747</v>
      </c>
      <c r="B78" s="58" t="s">
        <v>808</v>
      </c>
      <c r="C78" s="58" t="s">
        <v>795</v>
      </c>
      <c r="D78" s="58" t="s">
        <v>810</v>
      </c>
      <c r="E78" s="58">
        <v>566517</v>
      </c>
      <c r="F78" s="58">
        <v>78</v>
      </c>
      <c r="G78" s="58">
        <v>246116</v>
      </c>
      <c r="H78" s="69">
        <v>44780</v>
      </c>
      <c r="I78" s="88">
        <v>0.36</v>
      </c>
      <c r="J78" s="58">
        <v>3817469.88</v>
      </c>
    </row>
    <row r="79" spans="1:10" ht="15">
      <c r="A79" s="58" t="s">
        <v>748</v>
      </c>
      <c r="B79" s="58" t="s">
        <v>808</v>
      </c>
      <c r="C79" s="58" t="s">
        <v>788</v>
      </c>
      <c r="D79" s="58" t="s">
        <v>806</v>
      </c>
      <c r="E79" s="58">
        <v>690186</v>
      </c>
      <c r="F79" s="58">
        <v>38</v>
      </c>
      <c r="G79" s="58">
        <v>63419</v>
      </c>
      <c r="H79" s="69">
        <v>45315</v>
      </c>
      <c r="I79" s="88">
        <v>0.43</v>
      </c>
      <c r="J79" s="58">
        <v>3625446.3</v>
      </c>
    </row>
    <row r="80" spans="1:10" ht="15">
      <c r="A80" s="58" t="s">
        <v>746</v>
      </c>
      <c r="B80" s="58" t="s">
        <v>802</v>
      </c>
      <c r="C80" s="58" t="s">
        <v>809</v>
      </c>
      <c r="D80" s="58" t="s">
        <v>789</v>
      </c>
      <c r="E80" s="58">
        <v>972323</v>
      </c>
      <c r="F80" s="58">
        <v>68</v>
      </c>
      <c r="G80" s="58">
        <v>317047</v>
      </c>
      <c r="H80" s="69">
        <v>45052</v>
      </c>
      <c r="I80" s="88">
        <v>0.13</v>
      </c>
      <c r="J80" s="58">
        <v>2990870.62</v>
      </c>
    </row>
    <row r="81" spans="1:10" ht="15">
      <c r="A81" s="58" t="s">
        <v>741</v>
      </c>
      <c r="B81" s="58" t="s">
        <v>794</v>
      </c>
      <c r="C81" s="58" t="s">
        <v>799</v>
      </c>
      <c r="D81" s="58" t="s">
        <v>810</v>
      </c>
      <c r="E81" s="58">
        <v>1781254</v>
      </c>
      <c r="F81" s="58">
        <v>34</v>
      </c>
      <c r="G81" s="58">
        <v>322583</v>
      </c>
      <c r="H81" s="69">
        <v>44972</v>
      </c>
      <c r="I81" s="88">
        <v>0.08</v>
      </c>
      <c r="J81" s="58">
        <v>2774457.42</v>
      </c>
    </row>
    <row r="82" spans="1:10" ht="15">
      <c r="A82" s="58" t="s">
        <v>745</v>
      </c>
      <c r="B82" s="58" t="s">
        <v>794</v>
      </c>
      <c r="C82" s="58" t="s">
        <v>798</v>
      </c>
      <c r="D82" s="58" t="s">
        <v>811</v>
      </c>
      <c r="E82" s="58">
        <v>3336894</v>
      </c>
      <c r="F82" s="58">
        <v>89</v>
      </c>
      <c r="G82" s="58">
        <v>440289</v>
      </c>
      <c r="H82" s="69">
        <v>45523</v>
      </c>
      <c r="I82" s="88">
        <v>0.03</v>
      </c>
      <c r="J82" s="58">
        <v>1873492.8</v>
      </c>
    </row>
    <row r="83" spans="1:10" ht="15">
      <c r="A83" s="58" t="s">
        <v>747</v>
      </c>
      <c r="B83" s="58" t="s">
        <v>794</v>
      </c>
      <c r="C83" s="58" t="s">
        <v>799</v>
      </c>
      <c r="D83" s="58" t="s">
        <v>800</v>
      </c>
      <c r="E83" s="58">
        <v>4228397</v>
      </c>
      <c r="F83" s="58">
        <v>53</v>
      </c>
      <c r="G83" s="58">
        <v>450365</v>
      </c>
      <c r="H83" s="69">
        <v>45573</v>
      </c>
      <c r="I83" s="88">
        <v>0.3</v>
      </c>
      <c r="J83" s="58">
        <v>1220364.72</v>
      </c>
    </row>
    <row r="84" spans="1:10" ht="15">
      <c r="A84" s="58" t="s">
        <v>741</v>
      </c>
      <c r="B84" s="58" t="s">
        <v>802</v>
      </c>
      <c r="C84" s="58" t="s">
        <v>788</v>
      </c>
      <c r="D84" s="58" t="s">
        <v>791</v>
      </c>
      <c r="E84" s="58">
        <v>877360</v>
      </c>
      <c r="F84" s="58">
        <v>75</v>
      </c>
      <c r="G84" s="58">
        <v>135865</v>
      </c>
      <c r="H84" s="69">
        <v>45454</v>
      </c>
      <c r="I84" s="88">
        <v>0.44</v>
      </c>
      <c r="J84" s="58">
        <v>1985937.6</v>
      </c>
    </row>
    <row r="85" spans="1:10" ht="15">
      <c r="A85" s="58" t="s">
        <v>742</v>
      </c>
      <c r="B85" s="58" t="s">
        <v>802</v>
      </c>
      <c r="C85" s="58" t="s">
        <v>807</v>
      </c>
      <c r="D85" s="58" t="s">
        <v>801</v>
      </c>
      <c r="E85" s="58">
        <v>1539286</v>
      </c>
      <c r="F85" s="58">
        <v>41</v>
      </c>
      <c r="G85" s="58">
        <v>338461</v>
      </c>
      <c r="H85" s="69">
        <v>45486</v>
      </c>
      <c r="I85" s="88">
        <v>0.16</v>
      </c>
      <c r="J85" s="58">
        <v>2989123.28</v>
      </c>
    </row>
    <row r="86" spans="1:10" ht="15">
      <c r="A86" s="58" t="s">
        <v>744</v>
      </c>
      <c r="B86" s="58" t="s">
        <v>797</v>
      </c>
      <c r="C86" s="58" t="s">
        <v>807</v>
      </c>
      <c r="D86" s="58" t="s">
        <v>791</v>
      </c>
      <c r="E86" s="58">
        <v>1159008</v>
      </c>
      <c r="F86" s="58">
        <v>13</v>
      </c>
      <c r="G86" s="58">
        <v>251422</v>
      </c>
      <c r="H86" s="69">
        <v>44909</v>
      </c>
      <c r="I86" s="88">
        <v>0.13</v>
      </c>
      <c r="J86" s="58">
        <v>3997411.97</v>
      </c>
    </row>
    <row r="87" spans="1:10" ht="15">
      <c r="A87" s="58" t="s">
        <v>747</v>
      </c>
      <c r="B87" s="58" t="s">
        <v>802</v>
      </c>
      <c r="C87" s="58" t="s">
        <v>799</v>
      </c>
      <c r="D87" s="58" t="s">
        <v>801</v>
      </c>
      <c r="E87" s="58">
        <v>3109010</v>
      </c>
      <c r="F87" s="58">
        <v>67</v>
      </c>
      <c r="G87" s="58">
        <v>473748</v>
      </c>
      <c r="H87" s="69">
        <v>44652</v>
      </c>
      <c r="I87" s="88">
        <v>0.43</v>
      </c>
      <c r="J87" s="58">
        <v>170476.79999999999</v>
      </c>
    </row>
    <row r="88" spans="1:10" ht="15">
      <c r="A88" s="58" t="s">
        <v>747</v>
      </c>
      <c r="B88" s="58" t="s">
        <v>797</v>
      </c>
      <c r="C88" s="58" t="s">
        <v>793</v>
      </c>
      <c r="D88" s="58" t="s">
        <v>811</v>
      </c>
      <c r="E88" s="58">
        <v>1654268</v>
      </c>
      <c r="F88" s="58">
        <v>15</v>
      </c>
      <c r="G88" s="58">
        <v>167622</v>
      </c>
      <c r="H88" s="69">
        <v>44774</v>
      </c>
      <c r="I88" s="88">
        <v>0.47</v>
      </c>
      <c r="J88" s="58">
        <v>4069851.12</v>
      </c>
    </row>
    <row r="89" spans="1:10" ht="15">
      <c r="A89" s="58" t="s">
        <v>741</v>
      </c>
      <c r="B89" s="58" t="s">
        <v>809</v>
      </c>
      <c r="C89" s="58" t="s">
        <v>788</v>
      </c>
      <c r="D89" s="58" t="s">
        <v>805</v>
      </c>
      <c r="E89" s="58">
        <v>1581278</v>
      </c>
      <c r="F89" s="58">
        <v>19</v>
      </c>
      <c r="G89" s="58">
        <v>170642</v>
      </c>
      <c r="H89" s="69">
        <v>45458</v>
      </c>
      <c r="I89" s="88">
        <v>0.28000000000000003</v>
      </c>
      <c r="J89" s="58">
        <v>3125850.26</v>
      </c>
    </row>
    <row r="90" spans="1:10" ht="15">
      <c r="A90" s="58" t="s">
        <v>749</v>
      </c>
      <c r="B90" s="58" t="s">
        <v>804</v>
      </c>
      <c r="C90" s="58" t="s">
        <v>798</v>
      </c>
      <c r="D90" s="58" t="s">
        <v>796</v>
      </c>
      <c r="E90" s="58">
        <v>1467294</v>
      </c>
      <c r="F90" s="58">
        <v>38</v>
      </c>
      <c r="G90" s="58">
        <v>406333</v>
      </c>
      <c r="H90" s="69">
        <v>45263</v>
      </c>
      <c r="I90" s="88">
        <v>0.49</v>
      </c>
      <c r="J90" s="58">
        <v>1235527.02</v>
      </c>
    </row>
    <row r="91" spans="1:10" ht="15">
      <c r="A91" s="58" t="s">
        <v>742</v>
      </c>
      <c r="B91" s="58" t="s">
        <v>804</v>
      </c>
      <c r="C91" s="58" t="s">
        <v>788</v>
      </c>
      <c r="D91" s="58" t="s">
        <v>796</v>
      </c>
      <c r="E91" s="58">
        <v>1325168</v>
      </c>
      <c r="F91" s="58">
        <v>57</v>
      </c>
      <c r="G91" s="58">
        <v>106344</v>
      </c>
      <c r="H91" s="69">
        <v>45171</v>
      </c>
      <c r="I91" s="88">
        <v>0.18</v>
      </c>
      <c r="J91" s="58">
        <v>386076.8</v>
      </c>
    </row>
    <row r="92" spans="1:10" ht="15">
      <c r="A92" s="58" t="s">
        <v>741</v>
      </c>
      <c r="B92" s="58" t="s">
        <v>809</v>
      </c>
      <c r="C92" s="58" t="s">
        <v>807</v>
      </c>
      <c r="D92" s="58" t="s">
        <v>812</v>
      </c>
      <c r="E92" s="58">
        <v>1182592</v>
      </c>
      <c r="F92" s="58">
        <v>7</v>
      </c>
      <c r="G92" s="58">
        <v>338608</v>
      </c>
      <c r="H92" s="69">
        <v>45133</v>
      </c>
      <c r="I92" s="88">
        <v>0.48</v>
      </c>
      <c r="J92" s="58">
        <v>1538256.35</v>
      </c>
    </row>
    <row r="93" spans="1:10" ht="15">
      <c r="A93" s="58" t="s">
        <v>745</v>
      </c>
      <c r="B93" s="58" t="s">
        <v>804</v>
      </c>
      <c r="C93" s="58" t="s">
        <v>795</v>
      </c>
      <c r="D93" s="58" t="s">
        <v>806</v>
      </c>
      <c r="E93" s="58">
        <v>2968505</v>
      </c>
      <c r="F93" s="58">
        <v>75</v>
      </c>
      <c r="G93" s="58">
        <v>215862</v>
      </c>
      <c r="H93" s="69">
        <v>44644</v>
      </c>
      <c r="I93" s="88">
        <v>0.21</v>
      </c>
      <c r="J93" s="58">
        <v>3546849.67</v>
      </c>
    </row>
    <row r="94" spans="1:10" ht="15">
      <c r="A94" s="58" t="s">
        <v>746</v>
      </c>
      <c r="B94" s="58" t="s">
        <v>790</v>
      </c>
      <c r="C94" s="58" t="s">
        <v>807</v>
      </c>
      <c r="D94" s="58" t="s">
        <v>811</v>
      </c>
      <c r="E94" s="58">
        <v>3615204</v>
      </c>
      <c r="F94" s="58">
        <v>14</v>
      </c>
      <c r="G94" s="58">
        <v>205768</v>
      </c>
      <c r="H94" s="69">
        <v>44927</v>
      </c>
      <c r="I94" s="88">
        <v>0.28000000000000003</v>
      </c>
      <c r="J94" s="58">
        <v>2768400.37</v>
      </c>
    </row>
    <row r="95" spans="1:10" ht="15">
      <c r="A95" s="58" t="s">
        <v>741</v>
      </c>
      <c r="B95" s="58" t="s">
        <v>797</v>
      </c>
      <c r="C95" s="58" t="s">
        <v>788</v>
      </c>
      <c r="D95" s="58" t="s">
        <v>803</v>
      </c>
      <c r="E95" s="58">
        <v>958396</v>
      </c>
      <c r="F95" s="58">
        <v>24</v>
      </c>
      <c r="G95" s="58">
        <v>397863</v>
      </c>
      <c r="H95" s="69">
        <v>44799</v>
      </c>
      <c r="I95" s="88">
        <v>0.24</v>
      </c>
      <c r="J95" s="58">
        <v>2119900.9</v>
      </c>
    </row>
    <row r="96" spans="1:10" ht="15">
      <c r="A96" s="58" t="s">
        <v>745</v>
      </c>
      <c r="B96" s="58" t="s">
        <v>787</v>
      </c>
      <c r="C96" s="58" t="s">
        <v>799</v>
      </c>
      <c r="D96" s="58" t="s">
        <v>791</v>
      </c>
      <c r="E96" s="58">
        <v>4519052</v>
      </c>
      <c r="F96" s="58">
        <v>68</v>
      </c>
      <c r="G96" s="58">
        <v>217177</v>
      </c>
      <c r="H96" s="69">
        <v>45278</v>
      </c>
      <c r="I96" s="88">
        <v>0.01</v>
      </c>
      <c r="J96" s="58">
        <v>3030934.76</v>
      </c>
    </row>
    <row r="97" spans="1:10" ht="15">
      <c r="A97" s="58" t="s">
        <v>746</v>
      </c>
      <c r="B97" s="58" t="s">
        <v>794</v>
      </c>
      <c r="C97" s="58" t="s">
        <v>798</v>
      </c>
      <c r="D97" s="58" t="s">
        <v>811</v>
      </c>
      <c r="E97" s="58">
        <v>3566024</v>
      </c>
      <c r="F97" s="58">
        <v>81</v>
      </c>
      <c r="G97" s="58">
        <v>165728</v>
      </c>
      <c r="H97" s="69">
        <v>45279</v>
      </c>
      <c r="I97" s="88">
        <v>0.32</v>
      </c>
      <c r="J97" s="58">
        <v>3270681.6</v>
      </c>
    </row>
    <row r="98" spans="1:10" ht="15">
      <c r="A98" s="58" t="s">
        <v>745</v>
      </c>
      <c r="B98" s="58" t="s">
        <v>790</v>
      </c>
      <c r="C98" s="58" t="s">
        <v>807</v>
      </c>
      <c r="D98" s="58" t="s">
        <v>801</v>
      </c>
      <c r="E98" s="58">
        <v>4322273</v>
      </c>
      <c r="F98" s="58">
        <v>4</v>
      </c>
      <c r="G98" s="58">
        <v>60152</v>
      </c>
      <c r="H98" s="69">
        <v>45650</v>
      </c>
      <c r="I98" s="88">
        <v>0.18</v>
      </c>
      <c r="J98" s="58">
        <v>634198.41</v>
      </c>
    </row>
    <row r="99" spans="1:10" ht="15">
      <c r="A99" s="58" t="s">
        <v>747</v>
      </c>
      <c r="B99" s="58" t="s">
        <v>792</v>
      </c>
      <c r="C99" s="58" t="s">
        <v>788</v>
      </c>
      <c r="D99" s="58" t="s">
        <v>806</v>
      </c>
      <c r="E99" s="58">
        <v>493679</v>
      </c>
      <c r="F99" s="58">
        <v>30</v>
      </c>
      <c r="G99" s="58">
        <v>187267</v>
      </c>
      <c r="H99" s="69">
        <v>44837</v>
      </c>
      <c r="I99" s="88">
        <v>0</v>
      </c>
      <c r="J99" s="58">
        <v>105230.84</v>
      </c>
    </row>
    <row r="100" spans="1:10" ht="15">
      <c r="A100" s="58" t="s">
        <v>745</v>
      </c>
      <c r="B100" s="58" t="s">
        <v>797</v>
      </c>
      <c r="C100" s="58" t="s">
        <v>795</v>
      </c>
      <c r="D100" s="58" t="s">
        <v>815</v>
      </c>
      <c r="E100" s="58">
        <v>1221531</v>
      </c>
      <c r="F100" s="58">
        <v>50</v>
      </c>
      <c r="G100" s="58">
        <v>487114</v>
      </c>
      <c r="H100" s="69">
        <v>45466</v>
      </c>
      <c r="I100" s="88">
        <v>0.24</v>
      </c>
      <c r="J100" s="58">
        <v>2698858.8</v>
      </c>
    </row>
    <row r="101" spans="1:10" ht="15">
      <c r="A101" s="58" t="s">
        <v>743</v>
      </c>
      <c r="B101" s="58" t="s">
        <v>808</v>
      </c>
      <c r="C101" s="58" t="s">
        <v>809</v>
      </c>
      <c r="D101" s="58" t="s">
        <v>789</v>
      </c>
      <c r="E101" s="58">
        <v>3138281</v>
      </c>
      <c r="F101" s="58">
        <v>93</v>
      </c>
      <c r="G101" s="58">
        <v>28850</v>
      </c>
      <c r="H101" s="69">
        <v>45602</v>
      </c>
      <c r="I101" s="88">
        <v>0.19</v>
      </c>
      <c r="J101" s="58">
        <v>2972871</v>
      </c>
    </row>
    <row r="102" spans="1:10" ht="15">
      <c r="A102" s="58" t="s">
        <v>744</v>
      </c>
      <c r="B102" s="58" t="s">
        <v>802</v>
      </c>
      <c r="C102" s="58" t="s">
        <v>788</v>
      </c>
      <c r="D102" s="58" t="s">
        <v>812</v>
      </c>
      <c r="E102" s="58">
        <v>74333</v>
      </c>
      <c r="F102" s="58">
        <v>30</v>
      </c>
      <c r="G102" s="58">
        <v>486721</v>
      </c>
      <c r="H102" s="69">
        <v>44841</v>
      </c>
      <c r="I102" s="88">
        <v>0.28000000000000003</v>
      </c>
      <c r="J102" s="58">
        <v>35213.97</v>
      </c>
    </row>
    <row r="103" spans="1:10" ht="15">
      <c r="A103" s="58" t="s">
        <v>746</v>
      </c>
      <c r="B103" s="58" t="s">
        <v>794</v>
      </c>
      <c r="C103" s="58" t="s">
        <v>793</v>
      </c>
      <c r="D103" s="58" t="s">
        <v>796</v>
      </c>
      <c r="E103" s="58">
        <v>3978451</v>
      </c>
      <c r="F103" s="58">
        <v>79</v>
      </c>
      <c r="G103" s="58">
        <v>159346</v>
      </c>
      <c r="H103" s="69">
        <v>44672</v>
      </c>
      <c r="I103" s="88">
        <v>0.3</v>
      </c>
      <c r="J103" s="58">
        <v>682870.64</v>
      </c>
    </row>
    <row r="104" spans="1:10" ht="15">
      <c r="A104" s="58" t="s">
        <v>749</v>
      </c>
      <c r="B104" s="58" t="s">
        <v>790</v>
      </c>
      <c r="C104" s="58" t="s">
        <v>793</v>
      </c>
      <c r="D104" s="58" t="s">
        <v>806</v>
      </c>
      <c r="E104" s="58">
        <v>4644729</v>
      </c>
      <c r="F104" s="58">
        <v>47</v>
      </c>
      <c r="G104" s="58">
        <v>457492</v>
      </c>
      <c r="H104" s="69">
        <v>45140</v>
      </c>
      <c r="I104" s="88">
        <v>0.43</v>
      </c>
      <c r="J104" s="58">
        <v>4081953.28</v>
      </c>
    </row>
    <row r="105" spans="1:10" ht="15">
      <c r="A105" s="58" t="s">
        <v>743</v>
      </c>
      <c r="B105" s="58" t="s">
        <v>792</v>
      </c>
      <c r="C105" s="58" t="s">
        <v>788</v>
      </c>
      <c r="D105" s="58" t="s">
        <v>815</v>
      </c>
      <c r="E105" s="58">
        <v>3812210</v>
      </c>
      <c r="F105" s="58">
        <v>45</v>
      </c>
      <c r="G105" s="58">
        <v>209617</v>
      </c>
      <c r="H105" s="69">
        <v>45438</v>
      </c>
      <c r="I105" s="88">
        <v>0.42</v>
      </c>
      <c r="J105" s="58">
        <v>1276492.1399999999</v>
      </c>
    </row>
    <row r="106" spans="1:10" ht="15">
      <c r="A106" s="58" t="s">
        <v>742</v>
      </c>
      <c r="B106" s="58" t="s">
        <v>814</v>
      </c>
      <c r="C106" s="58" t="s">
        <v>807</v>
      </c>
      <c r="D106" s="58" t="s">
        <v>796</v>
      </c>
      <c r="E106" s="58">
        <v>2750381</v>
      </c>
      <c r="F106" s="58">
        <v>22</v>
      </c>
      <c r="G106" s="58">
        <v>266144</v>
      </c>
      <c r="H106" s="69">
        <v>45132</v>
      </c>
      <c r="I106" s="88">
        <v>0</v>
      </c>
      <c r="J106" s="58">
        <v>977644.5</v>
      </c>
    </row>
    <row r="107" spans="1:10" ht="15">
      <c r="A107" s="58" t="s">
        <v>745</v>
      </c>
      <c r="B107" s="58" t="s">
        <v>787</v>
      </c>
      <c r="C107" s="58" t="s">
        <v>798</v>
      </c>
      <c r="D107" s="58" t="s">
        <v>791</v>
      </c>
      <c r="E107" s="58">
        <v>2105352</v>
      </c>
      <c r="F107" s="58">
        <v>56</v>
      </c>
      <c r="G107" s="58">
        <v>310682</v>
      </c>
      <c r="H107" s="69">
        <v>45190</v>
      </c>
      <c r="I107" s="88">
        <v>0.35</v>
      </c>
      <c r="J107" s="58">
        <v>3642903.2</v>
      </c>
    </row>
    <row r="108" spans="1:10" ht="15">
      <c r="A108" s="58" t="s">
        <v>740</v>
      </c>
      <c r="B108" s="58" t="s">
        <v>809</v>
      </c>
      <c r="C108" s="58" t="s">
        <v>788</v>
      </c>
      <c r="D108" s="58" t="s">
        <v>789</v>
      </c>
      <c r="E108" s="58">
        <v>4873816</v>
      </c>
      <c r="F108" s="58">
        <v>38</v>
      </c>
      <c r="G108" s="58">
        <v>262529</v>
      </c>
      <c r="H108" s="69">
        <v>44981</v>
      </c>
      <c r="I108" s="88">
        <v>0.02</v>
      </c>
      <c r="J108" s="58">
        <v>592894.07999999996</v>
      </c>
    </row>
    <row r="109" spans="1:10" ht="15">
      <c r="A109" s="58" t="s">
        <v>745</v>
      </c>
      <c r="B109" s="58" t="s">
        <v>792</v>
      </c>
      <c r="C109" s="58" t="s">
        <v>788</v>
      </c>
      <c r="D109" s="58" t="s">
        <v>789</v>
      </c>
      <c r="E109" s="58">
        <v>1215514</v>
      </c>
      <c r="F109" s="58">
        <v>20</v>
      </c>
      <c r="G109" s="58">
        <v>252071</v>
      </c>
      <c r="H109" s="69">
        <v>45481</v>
      </c>
      <c r="I109" s="88">
        <v>0.2</v>
      </c>
      <c r="J109" s="58">
        <v>374536.6</v>
      </c>
    </row>
    <row r="110" spans="1:10" ht="15">
      <c r="A110" s="58" t="s">
        <v>749</v>
      </c>
      <c r="B110" s="58" t="s">
        <v>809</v>
      </c>
      <c r="C110" s="58" t="s">
        <v>795</v>
      </c>
      <c r="D110" s="58" t="s">
        <v>810</v>
      </c>
      <c r="E110" s="58">
        <v>1795974</v>
      </c>
      <c r="F110" s="58">
        <v>64</v>
      </c>
      <c r="G110" s="58">
        <v>228714</v>
      </c>
      <c r="H110" s="69">
        <v>45056</v>
      </c>
      <c r="I110" s="88">
        <v>0.33</v>
      </c>
      <c r="J110" s="58">
        <v>2678467.96</v>
      </c>
    </row>
    <row r="111" spans="1:10" ht="15">
      <c r="A111" s="58" t="s">
        <v>744</v>
      </c>
      <c r="B111" s="58" t="s">
        <v>797</v>
      </c>
      <c r="C111" s="58" t="s">
        <v>807</v>
      </c>
      <c r="D111" s="58" t="s">
        <v>801</v>
      </c>
      <c r="E111" s="58">
        <v>77392</v>
      </c>
      <c r="F111" s="58">
        <v>26</v>
      </c>
      <c r="G111" s="58">
        <v>88814</v>
      </c>
      <c r="H111" s="69">
        <v>45354</v>
      </c>
      <c r="I111" s="88">
        <v>0.08</v>
      </c>
      <c r="J111" s="58">
        <v>2421988.08</v>
      </c>
    </row>
    <row r="112" spans="1:10" ht="15">
      <c r="A112" s="58" t="s">
        <v>747</v>
      </c>
      <c r="B112" s="58" t="s">
        <v>794</v>
      </c>
      <c r="C112" s="58" t="s">
        <v>807</v>
      </c>
      <c r="D112" s="58" t="s">
        <v>789</v>
      </c>
      <c r="E112" s="58">
        <v>3434355</v>
      </c>
      <c r="F112" s="58">
        <v>80</v>
      </c>
      <c r="G112" s="58">
        <v>400013</v>
      </c>
      <c r="H112" s="69">
        <v>45286</v>
      </c>
      <c r="I112" s="88">
        <v>0.12</v>
      </c>
      <c r="J112" s="58">
        <v>3267829.64</v>
      </c>
    </row>
    <row r="113" spans="1:10" ht="15">
      <c r="A113" s="58" t="s">
        <v>747</v>
      </c>
      <c r="B113" s="58" t="s">
        <v>787</v>
      </c>
      <c r="C113" s="58" t="s">
        <v>798</v>
      </c>
      <c r="D113" s="58" t="s">
        <v>812</v>
      </c>
      <c r="E113" s="58">
        <v>745371</v>
      </c>
      <c r="F113" s="58">
        <v>19</v>
      </c>
      <c r="G113" s="58">
        <v>288349</v>
      </c>
      <c r="H113" s="69">
        <v>44571</v>
      </c>
      <c r="I113" s="88">
        <v>0.15</v>
      </c>
      <c r="J113" s="58">
        <v>2681568.89</v>
      </c>
    </row>
    <row r="114" spans="1:10" ht="15">
      <c r="A114" s="58" t="s">
        <v>745</v>
      </c>
      <c r="B114" s="58" t="s">
        <v>809</v>
      </c>
      <c r="C114" s="58" t="s">
        <v>788</v>
      </c>
      <c r="D114" s="58" t="s">
        <v>791</v>
      </c>
      <c r="E114" s="58">
        <v>4712492</v>
      </c>
      <c r="F114" s="58">
        <v>98</v>
      </c>
      <c r="G114" s="58">
        <v>127139</v>
      </c>
      <c r="H114" s="69">
        <v>45131</v>
      </c>
      <c r="I114" s="88">
        <v>0.02</v>
      </c>
      <c r="J114" s="58">
        <v>2247974.5499999998</v>
      </c>
    </row>
    <row r="115" spans="1:10" ht="15">
      <c r="A115" s="58" t="s">
        <v>746</v>
      </c>
      <c r="B115" s="58" t="s">
        <v>794</v>
      </c>
      <c r="C115" s="58" t="s">
        <v>793</v>
      </c>
      <c r="D115" s="58" t="s">
        <v>813</v>
      </c>
      <c r="E115" s="58">
        <v>2664981</v>
      </c>
      <c r="F115" s="58">
        <v>71</v>
      </c>
      <c r="G115" s="58">
        <v>149739</v>
      </c>
      <c r="H115" s="69">
        <v>44911</v>
      </c>
      <c r="I115" s="88">
        <v>0.49</v>
      </c>
      <c r="J115" s="58">
        <v>1631892.64</v>
      </c>
    </row>
    <row r="116" spans="1:10" ht="15">
      <c r="A116" s="58" t="s">
        <v>745</v>
      </c>
      <c r="B116" s="58" t="s">
        <v>809</v>
      </c>
      <c r="C116" s="58" t="s">
        <v>788</v>
      </c>
      <c r="D116" s="58" t="s">
        <v>801</v>
      </c>
      <c r="E116" s="58">
        <v>3122003</v>
      </c>
      <c r="F116" s="58">
        <v>17</v>
      </c>
      <c r="G116" s="58">
        <v>400034</v>
      </c>
      <c r="H116" s="69">
        <v>45286</v>
      </c>
      <c r="I116" s="88">
        <v>0.12</v>
      </c>
      <c r="J116" s="58">
        <v>2045858.4</v>
      </c>
    </row>
    <row r="117" spans="1:10" ht="15">
      <c r="A117" s="58" t="s">
        <v>740</v>
      </c>
      <c r="B117" s="58" t="s">
        <v>790</v>
      </c>
      <c r="C117" s="58" t="s">
        <v>795</v>
      </c>
      <c r="D117" s="58" t="s">
        <v>791</v>
      </c>
      <c r="E117" s="58">
        <v>260262</v>
      </c>
      <c r="F117" s="58">
        <v>51</v>
      </c>
      <c r="G117" s="58">
        <v>144946</v>
      </c>
      <c r="H117" s="69">
        <v>44798</v>
      </c>
      <c r="I117" s="88">
        <v>0.21</v>
      </c>
      <c r="J117" s="58">
        <v>1721915.01</v>
      </c>
    </row>
    <row r="118" spans="1:10" ht="15">
      <c r="A118" s="58" t="s">
        <v>745</v>
      </c>
      <c r="B118" s="58" t="s">
        <v>808</v>
      </c>
      <c r="C118" s="58" t="s">
        <v>799</v>
      </c>
      <c r="D118" s="58" t="s">
        <v>813</v>
      </c>
      <c r="E118" s="58">
        <v>2121979</v>
      </c>
      <c r="F118" s="58">
        <v>96</v>
      </c>
      <c r="G118" s="58">
        <v>328454</v>
      </c>
      <c r="H118" s="69">
        <v>45027</v>
      </c>
      <c r="I118" s="88">
        <v>0.18</v>
      </c>
      <c r="J118" s="58">
        <v>3286112.25</v>
      </c>
    </row>
    <row r="119" spans="1:10" ht="15">
      <c r="A119" s="58" t="s">
        <v>742</v>
      </c>
      <c r="B119" s="58" t="s">
        <v>808</v>
      </c>
      <c r="C119" s="58" t="s">
        <v>799</v>
      </c>
      <c r="D119" s="58" t="s">
        <v>805</v>
      </c>
      <c r="E119" s="58">
        <v>3526631</v>
      </c>
      <c r="F119" s="58">
        <v>12</v>
      </c>
      <c r="G119" s="58">
        <v>149621</v>
      </c>
      <c r="H119" s="69">
        <v>45004</v>
      </c>
      <c r="I119" s="88">
        <v>0.46</v>
      </c>
      <c r="J119" s="58">
        <v>836355.52</v>
      </c>
    </row>
    <row r="120" spans="1:10" ht="15">
      <c r="A120" s="58" t="s">
        <v>748</v>
      </c>
      <c r="B120" s="58" t="s">
        <v>790</v>
      </c>
      <c r="C120" s="58" t="s">
        <v>788</v>
      </c>
      <c r="D120" s="58" t="s">
        <v>803</v>
      </c>
      <c r="E120" s="58">
        <v>502106</v>
      </c>
      <c r="F120" s="58">
        <v>67</v>
      </c>
      <c r="G120" s="58">
        <v>478238</v>
      </c>
      <c r="H120" s="69">
        <v>45394</v>
      </c>
      <c r="I120" s="88">
        <v>0.1</v>
      </c>
      <c r="J120" s="58">
        <v>3390879.44</v>
      </c>
    </row>
    <row r="121" spans="1:10" ht="15">
      <c r="A121" s="58" t="s">
        <v>748</v>
      </c>
      <c r="B121" s="58" t="s">
        <v>804</v>
      </c>
      <c r="C121" s="58" t="s">
        <v>793</v>
      </c>
      <c r="D121" s="58" t="s">
        <v>810</v>
      </c>
      <c r="E121" s="58">
        <v>696108</v>
      </c>
      <c r="F121" s="58">
        <v>32</v>
      </c>
      <c r="G121" s="58">
        <v>245981</v>
      </c>
      <c r="H121" s="69">
        <v>44892</v>
      </c>
      <c r="I121" s="88">
        <v>0.45</v>
      </c>
      <c r="J121" s="58">
        <v>523431.48</v>
      </c>
    </row>
    <row r="122" spans="1:10" ht="15">
      <c r="A122" s="58" t="s">
        <v>744</v>
      </c>
      <c r="B122" s="58" t="s">
        <v>787</v>
      </c>
      <c r="C122" s="58" t="s">
        <v>809</v>
      </c>
      <c r="D122" s="58" t="s">
        <v>810</v>
      </c>
      <c r="E122" s="58">
        <v>3345080</v>
      </c>
      <c r="F122" s="58">
        <v>14</v>
      </c>
      <c r="G122" s="58">
        <v>418941</v>
      </c>
      <c r="H122" s="69">
        <v>44658</v>
      </c>
      <c r="I122" s="88">
        <v>0.09</v>
      </c>
      <c r="J122" s="58">
        <v>1128779.19</v>
      </c>
    </row>
    <row r="123" spans="1:10" ht="15">
      <c r="A123" s="58" t="s">
        <v>740</v>
      </c>
      <c r="B123" s="58" t="s">
        <v>802</v>
      </c>
      <c r="C123" s="58" t="s">
        <v>798</v>
      </c>
      <c r="D123" s="58" t="s">
        <v>791</v>
      </c>
      <c r="E123" s="58">
        <v>529073</v>
      </c>
      <c r="F123" s="58">
        <v>19</v>
      </c>
      <c r="G123" s="58">
        <v>109976</v>
      </c>
      <c r="H123" s="69">
        <v>44828</v>
      </c>
      <c r="I123" s="88">
        <v>0.22</v>
      </c>
      <c r="J123" s="58">
        <v>2030730.72</v>
      </c>
    </row>
    <row r="124" spans="1:10" ht="15">
      <c r="A124" s="58" t="s">
        <v>745</v>
      </c>
      <c r="B124" s="58" t="s">
        <v>809</v>
      </c>
      <c r="C124" s="58" t="s">
        <v>799</v>
      </c>
      <c r="D124" s="58" t="s">
        <v>805</v>
      </c>
      <c r="E124" s="58">
        <v>1550270</v>
      </c>
      <c r="F124" s="58">
        <v>41</v>
      </c>
      <c r="G124" s="58">
        <v>267599</v>
      </c>
      <c r="H124" s="69">
        <v>45095</v>
      </c>
      <c r="I124" s="88">
        <v>0.24</v>
      </c>
      <c r="J124" s="58">
        <v>651459.71</v>
      </c>
    </row>
    <row r="125" spans="1:10" ht="15">
      <c r="A125" s="58" t="s">
        <v>742</v>
      </c>
      <c r="B125" s="58" t="s">
        <v>794</v>
      </c>
      <c r="C125" s="58" t="s">
        <v>799</v>
      </c>
      <c r="D125" s="58" t="s">
        <v>800</v>
      </c>
      <c r="E125" s="58">
        <v>781096</v>
      </c>
      <c r="F125" s="58">
        <v>19</v>
      </c>
      <c r="G125" s="58">
        <v>454613</v>
      </c>
      <c r="H125" s="69">
        <v>44888</v>
      </c>
      <c r="I125" s="88">
        <v>0.08</v>
      </c>
      <c r="J125" s="58">
        <v>1683155.9</v>
      </c>
    </row>
    <row r="126" spans="1:10" ht="15">
      <c r="A126" s="58" t="s">
        <v>748</v>
      </c>
      <c r="B126" s="58" t="s">
        <v>809</v>
      </c>
      <c r="C126" s="58" t="s">
        <v>788</v>
      </c>
      <c r="D126" s="58" t="s">
        <v>796</v>
      </c>
      <c r="E126" s="58">
        <v>3132759</v>
      </c>
      <c r="F126" s="58">
        <v>61</v>
      </c>
      <c r="G126" s="58">
        <v>300429</v>
      </c>
      <c r="H126" s="69">
        <v>45011</v>
      </c>
      <c r="I126" s="88">
        <v>0.11</v>
      </c>
      <c r="J126" s="58">
        <v>299746.89</v>
      </c>
    </row>
    <row r="127" spans="1:10" ht="15">
      <c r="A127" s="58" t="s">
        <v>747</v>
      </c>
      <c r="B127" s="58" t="s">
        <v>790</v>
      </c>
      <c r="C127" s="58" t="s">
        <v>799</v>
      </c>
      <c r="D127" s="58" t="s">
        <v>801</v>
      </c>
      <c r="E127" s="58">
        <v>90159</v>
      </c>
      <c r="F127" s="58">
        <v>88</v>
      </c>
      <c r="G127" s="58">
        <v>19683</v>
      </c>
      <c r="H127" s="69">
        <v>45161</v>
      </c>
      <c r="I127" s="88">
        <v>0.19</v>
      </c>
      <c r="J127" s="58">
        <v>1683216.75</v>
      </c>
    </row>
    <row r="128" spans="1:10" ht="15">
      <c r="A128" s="58" t="s">
        <v>749</v>
      </c>
      <c r="B128" s="58" t="s">
        <v>794</v>
      </c>
      <c r="C128" s="58" t="s">
        <v>793</v>
      </c>
      <c r="D128" s="58" t="s">
        <v>811</v>
      </c>
      <c r="E128" s="58">
        <v>145960</v>
      </c>
      <c r="F128" s="58">
        <v>88</v>
      </c>
      <c r="G128" s="58">
        <v>250086</v>
      </c>
      <c r="H128" s="69">
        <v>44615</v>
      </c>
      <c r="I128" s="88">
        <v>0.27</v>
      </c>
      <c r="J128" s="58">
        <v>385261.5</v>
      </c>
    </row>
    <row r="129" spans="1:10" ht="15">
      <c r="A129" s="58" t="s">
        <v>748</v>
      </c>
      <c r="B129" s="58" t="s">
        <v>787</v>
      </c>
      <c r="C129" s="58" t="s">
        <v>798</v>
      </c>
      <c r="D129" s="58" t="s">
        <v>810</v>
      </c>
      <c r="E129" s="58">
        <v>3517653</v>
      </c>
      <c r="F129" s="58">
        <v>97</v>
      </c>
      <c r="G129" s="58">
        <v>81843</v>
      </c>
      <c r="H129" s="69">
        <v>45271</v>
      </c>
      <c r="I129" s="88">
        <v>0.3</v>
      </c>
      <c r="J129" s="58">
        <v>1012924.26</v>
      </c>
    </row>
    <row r="130" spans="1:10" ht="15">
      <c r="A130" s="58" t="s">
        <v>748</v>
      </c>
      <c r="B130" s="58" t="s">
        <v>809</v>
      </c>
      <c r="C130" s="58" t="s">
        <v>788</v>
      </c>
      <c r="D130" s="58" t="s">
        <v>812</v>
      </c>
      <c r="E130" s="58">
        <v>3370983</v>
      </c>
      <c r="F130" s="58">
        <v>81</v>
      </c>
      <c r="G130" s="58">
        <v>408996</v>
      </c>
      <c r="H130" s="69">
        <v>45476</v>
      </c>
      <c r="I130" s="88">
        <v>0.1</v>
      </c>
      <c r="J130" s="58">
        <v>2758014.78</v>
      </c>
    </row>
    <row r="131" spans="1:10" ht="15">
      <c r="A131" s="58" t="s">
        <v>748</v>
      </c>
      <c r="B131" s="58" t="s">
        <v>804</v>
      </c>
      <c r="C131" s="58" t="s">
        <v>795</v>
      </c>
      <c r="D131" s="58" t="s">
        <v>800</v>
      </c>
      <c r="E131" s="58">
        <v>4625373</v>
      </c>
      <c r="F131" s="58">
        <v>3</v>
      </c>
      <c r="G131" s="58">
        <v>286271</v>
      </c>
      <c r="H131" s="69">
        <v>45157</v>
      </c>
      <c r="I131" s="88">
        <v>0.5</v>
      </c>
      <c r="J131" s="58">
        <v>3970228.6</v>
      </c>
    </row>
    <row r="132" spans="1:10" ht="15">
      <c r="A132" s="58" t="s">
        <v>745</v>
      </c>
      <c r="B132" s="58" t="s">
        <v>792</v>
      </c>
      <c r="C132" s="58" t="s">
        <v>795</v>
      </c>
      <c r="D132" s="58" t="s">
        <v>796</v>
      </c>
      <c r="E132" s="58">
        <v>914322</v>
      </c>
      <c r="F132" s="58">
        <v>54</v>
      </c>
      <c r="G132" s="58">
        <v>124157</v>
      </c>
      <c r="H132" s="69">
        <v>45429</v>
      </c>
      <c r="I132" s="88">
        <v>0.47</v>
      </c>
      <c r="J132" s="58">
        <v>2345367.5699999998</v>
      </c>
    </row>
    <row r="133" spans="1:10" ht="15">
      <c r="A133" s="58" t="s">
        <v>748</v>
      </c>
      <c r="B133" s="58" t="s">
        <v>787</v>
      </c>
      <c r="C133" s="58" t="s">
        <v>807</v>
      </c>
      <c r="D133" s="58" t="s">
        <v>815</v>
      </c>
      <c r="E133" s="58">
        <v>746507</v>
      </c>
      <c r="F133" s="58">
        <v>95</v>
      </c>
      <c r="G133" s="58">
        <v>435022</v>
      </c>
      <c r="H133" s="69">
        <v>45445</v>
      </c>
      <c r="I133" s="88">
        <v>0.34</v>
      </c>
      <c r="J133" s="58">
        <v>4335462.04</v>
      </c>
    </row>
    <row r="134" spans="1:10" ht="15">
      <c r="A134" s="58" t="s">
        <v>746</v>
      </c>
      <c r="B134" s="58" t="s">
        <v>792</v>
      </c>
      <c r="C134" s="58" t="s">
        <v>809</v>
      </c>
      <c r="D134" s="58" t="s">
        <v>800</v>
      </c>
      <c r="E134" s="58">
        <v>2050671</v>
      </c>
      <c r="F134" s="58">
        <v>36</v>
      </c>
      <c r="G134" s="58">
        <v>395347</v>
      </c>
      <c r="H134" s="69">
        <v>44716</v>
      </c>
      <c r="I134" s="88">
        <v>0.43</v>
      </c>
      <c r="J134" s="58">
        <v>1710510.88</v>
      </c>
    </row>
    <row r="135" spans="1:10" ht="15">
      <c r="A135" s="58" t="s">
        <v>746</v>
      </c>
      <c r="B135" s="58" t="s">
        <v>797</v>
      </c>
      <c r="C135" s="58" t="s">
        <v>807</v>
      </c>
      <c r="D135" s="58" t="s">
        <v>813</v>
      </c>
      <c r="E135" s="58">
        <v>4447138</v>
      </c>
      <c r="F135" s="58">
        <v>57</v>
      </c>
      <c r="G135" s="58">
        <v>466243</v>
      </c>
      <c r="H135" s="69">
        <v>45466</v>
      </c>
      <c r="I135" s="88">
        <v>0.02</v>
      </c>
      <c r="J135" s="58">
        <v>2897330.58</v>
      </c>
    </row>
    <row r="136" spans="1:10" ht="15">
      <c r="A136" s="58" t="s">
        <v>743</v>
      </c>
      <c r="B136" s="58" t="s">
        <v>804</v>
      </c>
      <c r="C136" s="58" t="s">
        <v>807</v>
      </c>
      <c r="D136" s="58" t="s">
        <v>813</v>
      </c>
      <c r="E136" s="58">
        <v>932174</v>
      </c>
      <c r="F136" s="58">
        <v>39</v>
      </c>
      <c r="G136" s="58">
        <v>494134</v>
      </c>
      <c r="H136" s="69">
        <v>45152</v>
      </c>
      <c r="I136" s="88">
        <v>0.18</v>
      </c>
      <c r="J136" s="58">
        <v>3240401.4</v>
      </c>
    </row>
    <row r="137" spans="1:10" ht="15">
      <c r="A137" s="58" t="s">
        <v>743</v>
      </c>
      <c r="B137" s="58" t="s">
        <v>792</v>
      </c>
      <c r="C137" s="58" t="s">
        <v>788</v>
      </c>
      <c r="D137" s="58" t="s">
        <v>812</v>
      </c>
      <c r="E137" s="58">
        <v>2793830</v>
      </c>
      <c r="F137" s="58">
        <v>86</v>
      </c>
      <c r="G137" s="58">
        <v>499755</v>
      </c>
      <c r="H137" s="69">
        <v>44715</v>
      </c>
      <c r="I137" s="88">
        <v>0.18</v>
      </c>
      <c r="J137" s="58">
        <v>3270345.6</v>
      </c>
    </row>
    <row r="138" spans="1:10" ht="15">
      <c r="A138" s="58" t="s">
        <v>740</v>
      </c>
      <c r="B138" s="58" t="s">
        <v>809</v>
      </c>
      <c r="C138" s="58" t="s">
        <v>807</v>
      </c>
      <c r="D138" s="58" t="s">
        <v>811</v>
      </c>
      <c r="E138" s="58">
        <v>4878990</v>
      </c>
      <c r="F138" s="58">
        <v>46</v>
      </c>
      <c r="G138" s="58">
        <v>249197</v>
      </c>
      <c r="H138" s="69">
        <v>45495</v>
      </c>
      <c r="I138" s="88">
        <v>0.09</v>
      </c>
      <c r="J138" s="58">
        <v>194484.68</v>
      </c>
    </row>
    <row r="139" spans="1:10" ht="15">
      <c r="A139" s="58" t="s">
        <v>745</v>
      </c>
      <c r="B139" s="58" t="s">
        <v>790</v>
      </c>
      <c r="C139" s="58" t="s">
        <v>807</v>
      </c>
      <c r="D139" s="58" t="s">
        <v>812</v>
      </c>
      <c r="E139" s="58">
        <v>3427929</v>
      </c>
      <c r="F139" s="58">
        <v>14</v>
      </c>
      <c r="G139" s="58">
        <v>482999</v>
      </c>
      <c r="H139" s="69">
        <v>45404</v>
      </c>
      <c r="I139" s="88">
        <v>0.26</v>
      </c>
      <c r="J139" s="58">
        <v>3280103.64</v>
      </c>
    </row>
    <row r="140" spans="1:10" ht="15">
      <c r="A140" s="58" t="s">
        <v>741</v>
      </c>
      <c r="B140" s="58" t="s">
        <v>808</v>
      </c>
      <c r="C140" s="58" t="s">
        <v>795</v>
      </c>
      <c r="D140" s="58" t="s">
        <v>810</v>
      </c>
      <c r="E140" s="58">
        <v>1612315</v>
      </c>
      <c r="F140" s="58">
        <v>30</v>
      </c>
      <c r="G140" s="58">
        <v>184667</v>
      </c>
      <c r="H140" s="69">
        <v>45065</v>
      </c>
      <c r="I140" s="88">
        <v>0.1</v>
      </c>
      <c r="J140" s="58">
        <v>3259786.82</v>
      </c>
    </row>
    <row r="141" spans="1:10" ht="15">
      <c r="A141" s="58" t="s">
        <v>745</v>
      </c>
      <c r="B141" s="58" t="s">
        <v>797</v>
      </c>
      <c r="C141" s="58" t="s">
        <v>798</v>
      </c>
      <c r="D141" s="58" t="s">
        <v>789</v>
      </c>
      <c r="E141" s="58">
        <v>2119002</v>
      </c>
      <c r="F141" s="58">
        <v>18</v>
      </c>
      <c r="G141" s="58">
        <v>179919</v>
      </c>
      <c r="H141" s="69">
        <v>44807</v>
      </c>
      <c r="I141" s="88">
        <v>0.34</v>
      </c>
      <c r="J141" s="58">
        <v>469584.47</v>
      </c>
    </row>
    <row r="142" spans="1:10" ht="15">
      <c r="A142" s="58" t="s">
        <v>742</v>
      </c>
      <c r="B142" s="58" t="s">
        <v>802</v>
      </c>
      <c r="C142" s="58" t="s">
        <v>809</v>
      </c>
      <c r="D142" s="58" t="s">
        <v>810</v>
      </c>
      <c r="E142" s="58">
        <v>1333902</v>
      </c>
      <c r="F142" s="58">
        <v>9</v>
      </c>
      <c r="G142" s="58">
        <v>402487</v>
      </c>
      <c r="H142" s="69">
        <v>45602</v>
      </c>
      <c r="I142" s="88">
        <v>0.45</v>
      </c>
      <c r="J142" s="58">
        <v>4145723.05</v>
      </c>
    </row>
    <row r="143" spans="1:10" ht="15">
      <c r="A143" s="58" t="s">
        <v>749</v>
      </c>
      <c r="B143" s="58" t="s">
        <v>794</v>
      </c>
      <c r="C143" s="58" t="s">
        <v>795</v>
      </c>
      <c r="D143" s="58" t="s">
        <v>810</v>
      </c>
      <c r="E143" s="58">
        <v>3181395</v>
      </c>
      <c r="F143" s="58">
        <v>24</v>
      </c>
      <c r="G143" s="58">
        <v>28281</v>
      </c>
      <c r="H143" s="69">
        <v>45463</v>
      </c>
      <c r="I143" s="88">
        <v>0.47</v>
      </c>
      <c r="J143" s="58">
        <v>2632245.4</v>
      </c>
    </row>
    <row r="144" spans="1:10" ht="15">
      <c r="A144" s="58" t="s">
        <v>745</v>
      </c>
      <c r="B144" s="58" t="s">
        <v>794</v>
      </c>
      <c r="C144" s="58" t="s">
        <v>788</v>
      </c>
      <c r="D144" s="58" t="s">
        <v>811</v>
      </c>
      <c r="E144" s="58">
        <v>1424835</v>
      </c>
      <c r="F144" s="58">
        <v>10</v>
      </c>
      <c r="G144" s="58">
        <v>61907</v>
      </c>
      <c r="H144" s="69">
        <v>45250</v>
      </c>
      <c r="I144" s="88">
        <v>0.14000000000000001</v>
      </c>
      <c r="J144" s="58">
        <v>990134.46</v>
      </c>
    </row>
    <row r="145" spans="1:10" ht="15">
      <c r="A145" s="58" t="s">
        <v>743</v>
      </c>
      <c r="B145" s="58" t="s">
        <v>792</v>
      </c>
      <c r="C145" s="58" t="s">
        <v>807</v>
      </c>
      <c r="D145" s="58" t="s">
        <v>796</v>
      </c>
      <c r="E145" s="58">
        <v>3503044</v>
      </c>
      <c r="F145" s="58">
        <v>36</v>
      </c>
      <c r="G145" s="58">
        <v>349736</v>
      </c>
      <c r="H145" s="69">
        <v>45005</v>
      </c>
      <c r="I145" s="88">
        <v>0.04</v>
      </c>
      <c r="J145" s="58">
        <v>1558485.76</v>
      </c>
    </row>
    <row r="146" spans="1:10" ht="15">
      <c r="A146" s="58" t="s">
        <v>744</v>
      </c>
      <c r="B146" s="58" t="s">
        <v>797</v>
      </c>
      <c r="C146" s="58" t="s">
        <v>807</v>
      </c>
      <c r="D146" s="58" t="s">
        <v>789</v>
      </c>
      <c r="E146" s="58">
        <v>4714279</v>
      </c>
      <c r="F146" s="58">
        <v>37</v>
      </c>
      <c r="G146" s="58">
        <v>15878</v>
      </c>
      <c r="H146" s="69">
        <v>45419</v>
      </c>
      <c r="I146" s="88">
        <v>0.5</v>
      </c>
      <c r="J146" s="58">
        <v>1424028</v>
      </c>
    </row>
    <row r="147" spans="1:10" ht="15">
      <c r="A147" s="58" t="s">
        <v>747</v>
      </c>
      <c r="B147" s="58" t="s">
        <v>804</v>
      </c>
      <c r="C147" s="58" t="s">
        <v>799</v>
      </c>
      <c r="D147" s="58" t="s">
        <v>805</v>
      </c>
      <c r="E147" s="58">
        <v>3212043</v>
      </c>
      <c r="F147" s="58">
        <v>41</v>
      </c>
      <c r="G147" s="58">
        <v>400217</v>
      </c>
      <c r="H147" s="69">
        <v>44868</v>
      </c>
      <c r="I147" s="88">
        <v>0.26</v>
      </c>
      <c r="J147" s="58">
        <v>3052267.68</v>
      </c>
    </row>
    <row r="148" spans="1:10" ht="15">
      <c r="A148" s="58" t="s">
        <v>748</v>
      </c>
      <c r="B148" s="58" t="s">
        <v>797</v>
      </c>
      <c r="C148" s="58" t="s">
        <v>788</v>
      </c>
      <c r="D148" s="58" t="s">
        <v>810</v>
      </c>
      <c r="E148" s="58">
        <v>3176980</v>
      </c>
      <c r="F148" s="58">
        <v>35</v>
      </c>
      <c r="G148" s="58">
        <v>276452</v>
      </c>
      <c r="H148" s="69">
        <v>45040</v>
      </c>
      <c r="I148" s="88">
        <v>0.33</v>
      </c>
      <c r="J148" s="58">
        <v>805663.32</v>
      </c>
    </row>
    <row r="149" spans="1:10" ht="15">
      <c r="A149" s="58" t="s">
        <v>743</v>
      </c>
      <c r="B149" s="58" t="s">
        <v>797</v>
      </c>
      <c r="C149" s="58" t="s">
        <v>798</v>
      </c>
      <c r="D149" s="58" t="s">
        <v>810</v>
      </c>
      <c r="E149" s="58">
        <v>162411</v>
      </c>
      <c r="F149" s="58">
        <v>84</v>
      </c>
      <c r="G149" s="58">
        <v>465347</v>
      </c>
      <c r="H149" s="69">
        <v>44758</v>
      </c>
      <c r="I149" s="88">
        <v>0.19</v>
      </c>
      <c r="J149" s="58">
        <v>3825865.72</v>
      </c>
    </row>
    <row r="150" spans="1:10" ht="15">
      <c r="A150" s="58" t="s">
        <v>745</v>
      </c>
      <c r="B150" s="58" t="s">
        <v>814</v>
      </c>
      <c r="C150" s="58" t="s">
        <v>793</v>
      </c>
      <c r="D150" s="58" t="s">
        <v>801</v>
      </c>
      <c r="E150" s="58">
        <v>286737</v>
      </c>
      <c r="F150" s="58">
        <v>83</v>
      </c>
      <c r="G150" s="58">
        <v>44865</v>
      </c>
      <c r="H150" s="69">
        <v>44789</v>
      </c>
      <c r="I150" s="88">
        <v>0.36</v>
      </c>
      <c r="J150" s="58">
        <v>3391642.56</v>
      </c>
    </row>
    <row r="151" spans="1:10" ht="15">
      <c r="A151" s="58" t="s">
        <v>745</v>
      </c>
      <c r="B151" s="58" t="s">
        <v>809</v>
      </c>
      <c r="C151" s="58" t="s">
        <v>788</v>
      </c>
      <c r="D151" s="58" t="s">
        <v>801</v>
      </c>
      <c r="E151" s="58">
        <v>3015768</v>
      </c>
      <c r="F151" s="58">
        <v>77</v>
      </c>
      <c r="G151" s="58">
        <v>54585</v>
      </c>
      <c r="H151" s="69">
        <v>44640</v>
      </c>
      <c r="I151" s="88">
        <v>0.24</v>
      </c>
      <c r="J151" s="58">
        <v>1118524.44</v>
      </c>
    </row>
    <row r="152" spans="1:10" ht="15">
      <c r="A152" s="58" t="s">
        <v>742</v>
      </c>
      <c r="B152" s="58" t="s">
        <v>802</v>
      </c>
      <c r="C152" s="58" t="s">
        <v>788</v>
      </c>
      <c r="D152" s="58" t="s">
        <v>812</v>
      </c>
      <c r="E152" s="58">
        <v>2611719</v>
      </c>
      <c r="F152" s="58">
        <v>71</v>
      </c>
      <c r="G152" s="58">
        <v>166136</v>
      </c>
      <c r="H152" s="69">
        <v>44870</v>
      </c>
      <c r="I152" s="88">
        <v>0.09</v>
      </c>
      <c r="J152" s="58">
        <v>1635156.88</v>
      </c>
    </row>
    <row r="153" spans="1:10" ht="15">
      <c r="A153" s="58" t="s">
        <v>748</v>
      </c>
      <c r="B153" s="58" t="s">
        <v>814</v>
      </c>
      <c r="C153" s="58" t="s">
        <v>809</v>
      </c>
      <c r="D153" s="58" t="s">
        <v>796</v>
      </c>
      <c r="E153" s="58">
        <v>536002</v>
      </c>
      <c r="F153" s="58">
        <v>54</v>
      </c>
      <c r="G153" s="58">
        <v>474726</v>
      </c>
      <c r="H153" s="69">
        <v>45131</v>
      </c>
      <c r="I153" s="88">
        <v>0.16</v>
      </c>
      <c r="J153" s="58">
        <v>4036179.98</v>
      </c>
    </row>
    <row r="154" spans="1:10" ht="15">
      <c r="A154" s="58" t="s">
        <v>741</v>
      </c>
      <c r="B154" s="58" t="s">
        <v>802</v>
      </c>
      <c r="C154" s="58" t="s">
        <v>799</v>
      </c>
      <c r="D154" s="58" t="s">
        <v>812</v>
      </c>
      <c r="E154" s="58">
        <v>4116521</v>
      </c>
      <c r="F154" s="58">
        <v>15</v>
      </c>
      <c r="G154" s="58">
        <v>16398</v>
      </c>
      <c r="H154" s="69">
        <v>45342</v>
      </c>
      <c r="I154" s="88">
        <v>0.22</v>
      </c>
      <c r="J154" s="58">
        <v>3060014.91</v>
      </c>
    </row>
    <row r="155" spans="1:10" ht="15">
      <c r="A155" s="58" t="s">
        <v>742</v>
      </c>
      <c r="B155" s="58" t="s">
        <v>787</v>
      </c>
      <c r="C155" s="58" t="s">
        <v>788</v>
      </c>
      <c r="D155" s="58" t="s">
        <v>803</v>
      </c>
      <c r="E155" s="58">
        <v>3035755</v>
      </c>
      <c r="F155" s="58">
        <v>65</v>
      </c>
      <c r="G155" s="58">
        <v>319409</v>
      </c>
      <c r="H155" s="69">
        <v>45410</v>
      </c>
      <c r="I155" s="88">
        <v>0.39</v>
      </c>
      <c r="J155" s="58">
        <v>306772.2</v>
      </c>
    </row>
    <row r="156" spans="1:10" ht="15">
      <c r="A156" s="58" t="s">
        <v>747</v>
      </c>
      <c r="B156" s="58" t="s">
        <v>790</v>
      </c>
      <c r="C156" s="58" t="s">
        <v>795</v>
      </c>
      <c r="D156" s="58" t="s">
        <v>812</v>
      </c>
      <c r="E156" s="58">
        <v>1349464</v>
      </c>
      <c r="F156" s="58">
        <v>69</v>
      </c>
      <c r="G156" s="58">
        <v>260124</v>
      </c>
      <c r="H156" s="69">
        <v>44928</v>
      </c>
      <c r="I156" s="88">
        <v>0.08</v>
      </c>
      <c r="J156" s="58">
        <v>336078.54</v>
      </c>
    </row>
    <row r="157" spans="1:10" ht="15">
      <c r="A157" s="58" t="s">
        <v>740</v>
      </c>
      <c r="B157" s="58" t="s">
        <v>808</v>
      </c>
      <c r="C157" s="58" t="s">
        <v>795</v>
      </c>
      <c r="D157" s="58" t="s">
        <v>813</v>
      </c>
      <c r="E157" s="58">
        <v>4527983</v>
      </c>
      <c r="F157" s="58">
        <v>61</v>
      </c>
      <c r="G157" s="58">
        <v>100248</v>
      </c>
      <c r="H157" s="69">
        <v>44843</v>
      </c>
      <c r="I157" s="88">
        <v>0.39</v>
      </c>
      <c r="J157" s="58">
        <v>3122479.78</v>
      </c>
    </row>
    <row r="158" spans="1:10" ht="15">
      <c r="A158" s="58" t="s">
        <v>745</v>
      </c>
      <c r="B158" s="58" t="s">
        <v>804</v>
      </c>
      <c r="C158" s="58" t="s">
        <v>798</v>
      </c>
      <c r="D158" s="58" t="s">
        <v>800</v>
      </c>
      <c r="E158" s="58">
        <v>4336682</v>
      </c>
      <c r="F158" s="58">
        <v>91</v>
      </c>
      <c r="G158" s="58">
        <v>23278</v>
      </c>
      <c r="H158" s="69">
        <v>45621</v>
      </c>
      <c r="I158" s="88">
        <v>0.27</v>
      </c>
      <c r="J158" s="58">
        <v>1401657.39</v>
      </c>
    </row>
    <row r="159" spans="1:10" ht="15">
      <c r="A159" s="58" t="s">
        <v>743</v>
      </c>
      <c r="B159" s="58" t="s">
        <v>808</v>
      </c>
      <c r="C159" s="58" t="s">
        <v>788</v>
      </c>
      <c r="D159" s="58" t="s">
        <v>796</v>
      </c>
      <c r="E159" s="58">
        <v>860242</v>
      </c>
      <c r="F159" s="58">
        <v>82</v>
      </c>
      <c r="G159" s="58">
        <v>3889</v>
      </c>
      <c r="H159" s="69">
        <v>44696</v>
      </c>
      <c r="I159" s="88">
        <v>0.46</v>
      </c>
      <c r="J159" s="58">
        <v>1805062.05</v>
      </c>
    </row>
    <row r="160" spans="1:10" ht="15">
      <c r="A160" s="58" t="s">
        <v>749</v>
      </c>
      <c r="B160" s="58" t="s">
        <v>794</v>
      </c>
      <c r="C160" s="58" t="s">
        <v>799</v>
      </c>
      <c r="D160" s="58" t="s">
        <v>803</v>
      </c>
      <c r="E160" s="58">
        <v>4302282</v>
      </c>
      <c r="F160" s="58">
        <v>88</v>
      </c>
      <c r="G160" s="58">
        <v>349143</v>
      </c>
      <c r="H160" s="69">
        <v>45557</v>
      </c>
      <c r="I160" s="88">
        <v>0.38</v>
      </c>
      <c r="J160" s="58">
        <v>936297.6</v>
      </c>
    </row>
    <row r="161" spans="1:10" ht="15">
      <c r="A161" s="58" t="s">
        <v>745</v>
      </c>
      <c r="B161" s="58" t="s">
        <v>794</v>
      </c>
      <c r="C161" s="58" t="s">
        <v>809</v>
      </c>
      <c r="D161" s="58" t="s">
        <v>803</v>
      </c>
      <c r="E161" s="58">
        <v>4465768</v>
      </c>
      <c r="F161" s="58">
        <v>63</v>
      </c>
      <c r="G161" s="58">
        <v>448561</v>
      </c>
      <c r="H161" s="69">
        <v>45165</v>
      </c>
      <c r="I161" s="88">
        <v>0.05</v>
      </c>
      <c r="J161" s="58">
        <v>1815051.25</v>
      </c>
    </row>
    <row r="162" spans="1:10" ht="15">
      <c r="A162" s="58" t="s">
        <v>747</v>
      </c>
      <c r="B162" s="58" t="s">
        <v>794</v>
      </c>
      <c r="C162" s="58" t="s">
        <v>799</v>
      </c>
      <c r="D162" s="58" t="s">
        <v>806</v>
      </c>
      <c r="E162" s="58">
        <v>4191579</v>
      </c>
      <c r="F162" s="58">
        <v>35</v>
      </c>
      <c r="G162" s="58">
        <v>421379</v>
      </c>
      <c r="H162" s="69">
        <v>45267</v>
      </c>
      <c r="I162" s="88">
        <v>0.19</v>
      </c>
      <c r="J162" s="58">
        <v>726160</v>
      </c>
    </row>
    <row r="163" spans="1:10" ht="15">
      <c r="A163" s="58" t="s">
        <v>746</v>
      </c>
      <c r="B163" s="58" t="s">
        <v>787</v>
      </c>
      <c r="C163" s="58" t="s">
        <v>799</v>
      </c>
      <c r="D163" s="58" t="s">
        <v>801</v>
      </c>
      <c r="E163" s="58">
        <v>1623160</v>
      </c>
      <c r="F163" s="58">
        <v>73</v>
      </c>
      <c r="G163" s="58">
        <v>99921</v>
      </c>
      <c r="H163" s="69">
        <v>45242</v>
      </c>
      <c r="I163" s="88">
        <v>0.2</v>
      </c>
      <c r="J163" s="58">
        <v>301640.17</v>
      </c>
    </row>
    <row r="164" spans="1:10" ht="15">
      <c r="A164" s="58" t="s">
        <v>743</v>
      </c>
      <c r="B164" s="58" t="s">
        <v>787</v>
      </c>
      <c r="C164" s="58" t="s">
        <v>799</v>
      </c>
      <c r="D164" s="58" t="s">
        <v>789</v>
      </c>
      <c r="E164" s="58">
        <v>3574594</v>
      </c>
      <c r="F164" s="58">
        <v>75</v>
      </c>
      <c r="G164" s="58">
        <v>227132</v>
      </c>
      <c r="H164" s="69">
        <v>45550</v>
      </c>
      <c r="I164" s="88">
        <v>7.0000000000000007E-2</v>
      </c>
      <c r="J164" s="58">
        <v>342855.67999999999</v>
      </c>
    </row>
    <row r="165" spans="1:10" ht="15">
      <c r="A165" s="58" t="s">
        <v>745</v>
      </c>
      <c r="B165" s="58" t="s">
        <v>797</v>
      </c>
      <c r="C165" s="58" t="s">
        <v>795</v>
      </c>
      <c r="D165" s="58" t="s">
        <v>803</v>
      </c>
      <c r="E165" s="58">
        <v>1266713</v>
      </c>
      <c r="F165" s="58">
        <v>90</v>
      </c>
      <c r="G165" s="58">
        <v>252043</v>
      </c>
      <c r="H165" s="69">
        <v>45007</v>
      </c>
      <c r="I165" s="88">
        <v>0.15</v>
      </c>
      <c r="J165" s="58">
        <v>1558388.16</v>
      </c>
    </row>
    <row r="166" spans="1:10" ht="15">
      <c r="A166" s="58" t="s">
        <v>743</v>
      </c>
      <c r="B166" s="58" t="s">
        <v>797</v>
      </c>
      <c r="C166" s="58" t="s">
        <v>809</v>
      </c>
      <c r="D166" s="58" t="s">
        <v>813</v>
      </c>
      <c r="E166" s="58">
        <v>1108750</v>
      </c>
      <c r="F166" s="58">
        <v>18</v>
      </c>
      <c r="G166" s="58">
        <v>250300</v>
      </c>
      <c r="H166" s="69">
        <v>45113</v>
      </c>
      <c r="I166" s="88">
        <v>0.19</v>
      </c>
      <c r="J166" s="58">
        <v>2917020.47</v>
      </c>
    </row>
    <row r="167" spans="1:10" ht="15">
      <c r="A167" s="58" t="s">
        <v>742</v>
      </c>
      <c r="B167" s="58" t="s">
        <v>790</v>
      </c>
      <c r="C167" s="58" t="s">
        <v>799</v>
      </c>
      <c r="D167" s="58" t="s">
        <v>796</v>
      </c>
      <c r="E167" s="58">
        <v>3401916</v>
      </c>
      <c r="F167" s="58">
        <v>63</v>
      </c>
      <c r="G167" s="58">
        <v>400743</v>
      </c>
      <c r="H167" s="69">
        <v>45233</v>
      </c>
      <c r="I167" s="88">
        <v>0.27</v>
      </c>
      <c r="J167" s="58">
        <v>929988.24</v>
      </c>
    </row>
    <row r="168" spans="1:10" ht="15">
      <c r="A168" s="58" t="s">
        <v>748</v>
      </c>
      <c r="B168" s="58" t="s">
        <v>790</v>
      </c>
      <c r="C168" s="58" t="s">
        <v>788</v>
      </c>
      <c r="D168" s="58" t="s">
        <v>815</v>
      </c>
      <c r="E168" s="58">
        <v>3558185</v>
      </c>
      <c r="F168" s="58">
        <v>58</v>
      </c>
      <c r="G168" s="58">
        <v>162880</v>
      </c>
      <c r="H168" s="69">
        <v>45480</v>
      </c>
      <c r="I168" s="88">
        <v>0.25</v>
      </c>
      <c r="J168" s="58">
        <v>3247227.48</v>
      </c>
    </row>
    <row r="169" spans="1:10" ht="15">
      <c r="A169" s="58" t="s">
        <v>748</v>
      </c>
      <c r="B169" s="58" t="s">
        <v>814</v>
      </c>
      <c r="C169" s="58" t="s">
        <v>795</v>
      </c>
      <c r="D169" s="58" t="s">
        <v>805</v>
      </c>
      <c r="E169" s="58">
        <v>3579455</v>
      </c>
      <c r="F169" s="58">
        <v>79</v>
      </c>
      <c r="G169" s="58">
        <v>397564</v>
      </c>
      <c r="H169" s="69">
        <v>45341</v>
      </c>
      <c r="I169" s="88">
        <v>0.35</v>
      </c>
      <c r="J169" s="58">
        <v>1813766.08</v>
      </c>
    </row>
    <row r="170" spans="1:10" ht="15">
      <c r="A170" s="58" t="s">
        <v>748</v>
      </c>
      <c r="B170" s="58" t="s">
        <v>814</v>
      </c>
      <c r="C170" s="58" t="s">
        <v>798</v>
      </c>
      <c r="D170" s="58" t="s">
        <v>810</v>
      </c>
      <c r="E170" s="58">
        <v>791409</v>
      </c>
      <c r="F170" s="58">
        <v>19</v>
      </c>
      <c r="G170" s="58">
        <v>448447</v>
      </c>
      <c r="H170" s="69">
        <v>45604</v>
      </c>
      <c r="I170" s="88">
        <v>0.47</v>
      </c>
      <c r="J170" s="58">
        <v>2569608.75</v>
      </c>
    </row>
    <row r="171" spans="1:10" ht="15">
      <c r="A171" s="58" t="s">
        <v>749</v>
      </c>
      <c r="B171" s="58" t="s">
        <v>797</v>
      </c>
      <c r="C171" s="58" t="s">
        <v>788</v>
      </c>
      <c r="D171" s="58" t="s">
        <v>796</v>
      </c>
      <c r="E171" s="58">
        <v>3915210</v>
      </c>
      <c r="F171" s="58">
        <v>53</v>
      </c>
      <c r="G171" s="58">
        <v>246699</v>
      </c>
      <c r="H171" s="69">
        <v>44933</v>
      </c>
      <c r="I171" s="88">
        <v>0.47</v>
      </c>
      <c r="J171" s="58">
        <v>1471051.2</v>
      </c>
    </row>
    <row r="172" spans="1:10" ht="15">
      <c r="A172" s="58" t="s">
        <v>746</v>
      </c>
      <c r="B172" s="58" t="s">
        <v>790</v>
      </c>
      <c r="C172" s="58" t="s">
        <v>807</v>
      </c>
      <c r="D172" s="58" t="s">
        <v>789</v>
      </c>
      <c r="E172" s="58">
        <v>3923362</v>
      </c>
      <c r="F172" s="58">
        <v>48</v>
      </c>
      <c r="G172" s="58">
        <v>304901</v>
      </c>
      <c r="H172" s="69">
        <v>45600</v>
      </c>
      <c r="I172" s="88">
        <v>0.13</v>
      </c>
      <c r="J172" s="58">
        <v>1528747.02</v>
      </c>
    </row>
    <row r="173" spans="1:10" ht="15">
      <c r="A173" s="58" t="s">
        <v>745</v>
      </c>
      <c r="B173" s="58" t="s">
        <v>792</v>
      </c>
      <c r="C173" s="58" t="s">
        <v>798</v>
      </c>
      <c r="D173" s="58" t="s">
        <v>815</v>
      </c>
      <c r="E173" s="58">
        <v>1663987</v>
      </c>
      <c r="F173" s="58">
        <v>7</v>
      </c>
      <c r="G173" s="58">
        <v>456040</v>
      </c>
      <c r="H173" s="69">
        <v>45063</v>
      </c>
      <c r="I173" s="88">
        <v>0.23</v>
      </c>
      <c r="J173" s="58">
        <v>561913.1</v>
      </c>
    </row>
    <row r="174" spans="1:10" ht="15">
      <c r="A174" s="58" t="s">
        <v>745</v>
      </c>
      <c r="B174" s="58" t="s">
        <v>794</v>
      </c>
      <c r="C174" s="58" t="s">
        <v>793</v>
      </c>
      <c r="D174" s="58" t="s">
        <v>813</v>
      </c>
      <c r="E174" s="58">
        <v>4390505</v>
      </c>
      <c r="F174" s="58">
        <v>78</v>
      </c>
      <c r="G174" s="58">
        <v>171685</v>
      </c>
      <c r="H174" s="69">
        <v>45549</v>
      </c>
      <c r="I174" s="88">
        <v>0.12</v>
      </c>
      <c r="J174" s="58">
        <v>1318412.6399999999</v>
      </c>
    </row>
    <row r="175" spans="1:10" ht="15">
      <c r="A175" s="58" t="s">
        <v>745</v>
      </c>
      <c r="B175" s="58" t="s">
        <v>790</v>
      </c>
      <c r="C175" s="58" t="s">
        <v>809</v>
      </c>
      <c r="D175" s="58" t="s">
        <v>805</v>
      </c>
      <c r="E175" s="58">
        <v>3602273</v>
      </c>
      <c r="F175" s="58">
        <v>63</v>
      </c>
      <c r="G175" s="58">
        <v>205914</v>
      </c>
      <c r="H175" s="69">
        <v>44732</v>
      </c>
      <c r="I175" s="88">
        <v>0.05</v>
      </c>
      <c r="J175" s="58">
        <v>3817189.92</v>
      </c>
    </row>
    <row r="176" spans="1:10" ht="15">
      <c r="A176" s="58" t="s">
        <v>744</v>
      </c>
      <c r="B176" s="58" t="s">
        <v>790</v>
      </c>
      <c r="C176" s="58" t="s">
        <v>788</v>
      </c>
      <c r="D176" s="58" t="s">
        <v>789</v>
      </c>
      <c r="E176" s="58">
        <v>3000348</v>
      </c>
      <c r="F176" s="58">
        <v>31</v>
      </c>
      <c r="G176" s="58">
        <v>388367</v>
      </c>
      <c r="H176" s="69">
        <v>44817</v>
      </c>
      <c r="I176" s="88">
        <v>0.19</v>
      </c>
      <c r="J176" s="58">
        <v>3213549.24</v>
      </c>
    </row>
    <row r="177" spans="1:10" ht="15">
      <c r="A177" s="58" t="s">
        <v>741</v>
      </c>
      <c r="B177" s="58" t="s">
        <v>808</v>
      </c>
      <c r="C177" s="58" t="s">
        <v>788</v>
      </c>
      <c r="D177" s="58" t="s">
        <v>815</v>
      </c>
      <c r="E177" s="58">
        <v>20772</v>
      </c>
      <c r="F177" s="58">
        <v>51</v>
      </c>
      <c r="G177" s="58">
        <v>462794</v>
      </c>
      <c r="H177" s="69">
        <v>44941</v>
      </c>
      <c r="I177" s="88">
        <v>0.01</v>
      </c>
      <c r="J177" s="58">
        <v>1821535.56</v>
      </c>
    </row>
    <row r="178" spans="1:10" ht="15">
      <c r="A178" s="58" t="s">
        <v>743</v>
      </c>
      <c r="B178" s="58" t="s">
        <v>804</v>
      </c>
      <c r="C178" s="58" t="s">
        <v>809</v>
      </c>
      <c r="D178" s="58" t="s">
        <v>811</v>
      </c>
      <c r="E178" s="58">
        <v>4996506</v>
      </c>
      <c r="F178" s="58">
        <v>99</v>
      </c>
      <c r="G178" s="58">
        <v>95375</v>
      </c>
      <c r="H178" s="69">
        <v>44897</v>
      </c>
      <c r="I178" s="88">
        <v>0.49</v>
      </c>
      <c r="J178" s="58">
        <v>2407981.42</v>
      </c>
    </row>
    <row r="179" spans="1:10" ht="15">
      <c r="A179" s="58" t="s">
        <v>742</v>
      </c>
      <c r="B179" s="58" t="s">
        <v>809</v>
      </c>
      <c r="C179" s="58" t="s">
        <v>788</v>
      </c>
      <c r="D179" s="58" t="s">
        <v>815</v>
      </c>
      <c r="E179" s="58">
        <v>1584165</v>
      </c>
      <c r="F179" s="58">
        <v>80</v>
      </c>
      <c r="G179" s="58">
        <v>366409</v>
      </c>
      <c r="H179" s="69">
        <v>44784</v>
      </c>
      <c r="I179" s="88">
        <v>0.26</v>
      </c>
      <c r="J179" s="58">
        <v>1374403.8</v>
      </c>
    </row>
    <row r="180" spans="1:10" ht="15">
      <c r="A180" s="58" t="s">
        <v>743</v>
      </c>
      <c r="B180" s="58" t="s">
        <v>804</v>
      </c>
      <c r="C180" s="58" t="s">
        <v>788</v>
      </c>
      <c r="D180" s="58" t="s">
        <v>796</v>
      </c>
      <c r="E180" s="58">
        <v>165398</v>
      </c>
      <c r="F180" s="58">
        <v>65</v>
      </c>
      <c r="G180" s="58">
        <v>36148</v>
      </c>
      <c r="H180" s="69">
        <v>45272</v>
      </c>
      <c r="I180" s="88">
        <v>0.06</v>
      </c>
      <c r="J180" s="58">
        <v>3486083.04</v>
      </c>
    </row>
    <row r="181" spans="1:10" ht="15">
      <c r="A181" s="58" t="s">
        <v>745</v>
      </c>
      <c r="B181" s="58" t="s">
        <v>808</v>
      </c>
      <c r="C181" s="58" t="s">
        <v>799</v>
      </c>
      <c r="D181" s="58" t="s">
        <v>800</v>
      </c>
      <c r="E181" s="58">
        <v>4619016</v>
      </c>
      <c r="F181" s="58">
        <v>11</v>
      </c>
      <c r="G181" s="58">
        <v>24479</v>
      </c>
      <c r="H181" s="69">
        <v>44792</v>
      </c>
      <c r="I181" s="88">
        <v>0.17</v>
      </c>
      <c r="J181" s="58">
        <v>750865.31</v>
      </c>
    </row>
    <row r="182" spans="1:10" ht="15">
      <c r="A182" s="58" t="s">
        <v>743</v>
      </c>
      <c r="B182" s="58" t="s">
        <v>794</v>
      </c>
      <c r="C182" s="58" t="s">
        <v>788</v>
      </c>
      <c r="D182" s="58" t="s">
        <v>789</v>
      </c>
      <c r="E182" s="58">
        <v>213893</v>
      </c>
      <c r="F182" s="58">
        <v>48</v>
      </c>
      <c r="G182" s="58">
        <v>130091</v>
      </c>
      <c r="H182" s="69">
        <v>45566</v>
      </c>
      <c r="I182" s="88">
        <v>0.35</v>
      </c>
      <c r="J182" s="58">
        <v>424548.74</v>
      </c>
    </row>
    <row r="183" spans="1:10" ht="15">
      <c r="A183" s="58" t="s">
        <v>740</v>
      </c>
      <c r="B183" s="58" t="s">
        <v>792</v>
      </c>
      <c r="C183" s="58" t="s">
        <v>809</v>
      </c>
      <c r="D183" s="58" t="s">
        <v>812</v>
      </c>
      <c r="E183" s="58">
        <v>2111321</v>
      </c>
      <c r="F183" s="58">
        <v>89</v>
      </c>
      <c r="G183" s="58">
        <v>185260</v>
      </c>
      <c r="H183" s="69">
        <v>45364</v>
      </c>
      <c r="I183" s="88">
        <v>0.14000000000000001</v>
      </c>
      <c r="J183" s="58">
        <v>2040297.35</v>
      </c>
    </row>
    <row r="184" spans="1:10" ht="15">
      <c r="A184" s="58" t="s">
        <v>749</v>
      </c>
      <c r="B184" s="58" t="s">
        <v>787</v>
      </c>
      <c r="C184" s="58" t="s">
        <v>793</v>
      </c>
      <c r="D184" s="58" t="s">
        <v>805</v>
      </c>
      <c r="E184" s="58">
        <v>4628494</v>
      </c>
      <c r="F184" s="58">
        <v>5</v>
      </c>
      <c r="G184" s="58">
        <v>253928</v>
      </c>
      <c r="H184" s="69">
        <v>45604</v>
      </c>
      <c r="I184" s="88">
        <v>0.03</v>
      </c>
      <c r="J184" s="58">
        <v>4519765.4400000004</v>
      </c>
    </row>
    <row r="185" spans="1:10" ht="15">
      <c r="A185" s="58" t="s">
        <v>741</v>
      </c>
      <c r="B185" s="58" t="s">
        <v>804</v>
      </c>
      <c r="C185" s="58" t="s">
        <v>807</v>
      </c>
      <c r="D185" s="58" t="s">
        <v>803</v>
      </c>
      <c r="E185" s="58">
        <v>1807982</v>
      </c>
      <c r="F185" s="58">
        <v>59</v>
      </c>
      <c r="G185" s="58">
        <v>6181</v>
      </c>
      <c r="H185" s="69">
        <v>45559</v>
      </c>
      <c r="I185" s="88">
        <v>0.36</v>
      </c>
      <c r="J185" s="58">
        <v>2711620.8</v>
      </c>
    </row>
    <row r="186" spans="1:10" ht="15">
      <c r="A186" s="58" t="s">
        <v>741</v>
      </c>
      <c r="B186" s="58" t="s">
        <v>814</v>
      </c>
      <c r="C186" s="58" t="s">
        <v>793</v>
      </c>
      <c r="D186" s="58" t="s">
        <v>813</v>
      </c>
      <c r="E186" s="58">
        <v>4674812</v>
      </c>
      <c r="F186" s="58">
        <v>26</v>
      </c>
      <c r="G186" s="58">
        <v>86052</v>
      </c>
      <c r="H186" s="69">
        <v>44762</v>
      </c>
      <c r="I186" s="88">
        <v>0.39</v>
      </c>
      <c r="J186" s="58">
        <v>2626726.4</v>
      </c>
    </row>
    <row r="187" spans="1:10" ht="15">
      <c r="A187" s="58" t="s">
        <v>741</v>
      </c>
      <c r="B187" s="58" t="s">
        <v>814</v>
      </c>
      <c r="C187" s="58" t="s">
        <v>793</v>
      </c>
      <c r="D187" s="58" t="s">
        <v>812</v>
      </c>
      <c r="E187" s="58">
        <v>2861203</v>
      </c>
      <c r="F187" s="58">
        <v>18</v>
      </c>
      <c r="G187" s="58">
        <v>46282</v>
      </c>
      <c r="H187" s="69">
        <v>45360</v>
      </c>
      <c r="I187" s="88">
        <v>0.45</v>
      </c>
      <c r="J187" s="58">
        <v>554893.21</v>
      </c>
    </row>
    <row r="188" spans="1:10" ht="15">
      <c r="A188" s="58" t="s">
        <v>746</v>
      </c>
      <c r="B188" s="58" t="s">
        <v>814</v>
      </c>
      <c r="C188" s="58" t="s">
        <v>807</v>
      </c>
      <c r="D188" s="58" t="s">
        <v>815</v>
      </c>
      <c r="E188" s="58">
        <v>4375326</v>
      </c>
      <c r="F188" s="58">
        <v>76</v>
      </c>
      <c r="G188" s="58">
        <v>129970</v>
      </c>
      <c r="H188" s="69">
        <v>44819</v>
      </c>
      <c r="I188" s="88">
        <v>0.22</v>
      </c>
      <c r="J188" s="58">
        <v>2808990.92</v>
      </c>
    </row>
    <row r="189" spans="1:10" ht="15">
      <c r="A189" s="58" t="s">
        <v>747</v>
      </c>
      <c r="B189" s="58" t="s">
        <v>794</v>
      </c>
      <c r="C189" s="58" t="s">
        <v>799</v>
      </c>
      <c r="D189" s="58" t="s">
        <v>796</v>
      </c>
      <c r="E189" s="58">
        <v>2078103</v>
      </c>
      <c r="F189" s="58">
        <v>58</v>
      </c>
      <c r="G189" s="58">
        <v>70565</v>
      </c>
      <c r="H189" s="69">
        <v>44758</v>
      </c>
      <c r="I189" s="88">
        <v>0.37</v>
      </c>
      <c r="J189" s="58">
        <v>410148.9</v>
      </c>
    </row>
    <row r="190" spans="1:10" ht="15">
      <c r="A190" s="58" t="s">
        <v>745</v>
      </c>
      <c r="B190" s="58" t="s">
        <v>790</v>
      </c>
      <c r="C190" s="58" t="s">
        <v>799</v>
      </c>
      <c r="D190" s="58" t="s">
        <v>813</v>
      </c>
      <c r="E190" s="58">
        <v>1226931</v>
      </c>
      <c r="F190" s="58">
        <v>79</v>
      </c>
      <c r="G190" s="58">
        <v>429409</v>
      </c>
      <c r="H190" s="69">
        <v>44618</v>
      </c>
      <c r="I190" s="88">
        <v>0.08</v>
      </c>
      <c r="J190" s="58">
        <v>746840.88</v>
      </c>
    </row>
    <row r="191" spans="1:10" ht="15">
      <c r="A191" s="58" t="s">
        <v>749</v>
      </c>
      <c r="B191" s="58" t="s">
        <v>797</v>
      </c>
      <c r="C191" s="58" t="s">
        <v>799</v>
      </c>
      <c r="D191" s="58" t="s">
        <v>805</v>
      </c>
      <c r="E191" s="58">
        <v>2836174</v>
      </c>
      <c r="F191" s="58">
        <v>5</v>
      </c>
      <c r="G191" s="58">
        <v>311322</v>
      </c>
      <c r="H191" s="69">
        <v>44757</v>
      </c>
      <c r="I191" s="88">
        <v>0.24</v>
      </c>
      <c r="J191" s="58">
        <v>1651827.24</v>
      </c>
    </row>
    <row r="192" spans="1:10" ht="15">
      <c r="A192" s="58" t="s">
        <v>741</v>
      </c>
      <c r="B192" s="58" t="s">
        <v>808</v>
      </c>
      <c r="C192" s="58" t="s">
        <v>798</v>
      </c>
      <c r="D192" s="58" t="s">
        <v>801</v>
      </c>
      <c r="E192" s="58">
        <v>2237503</v>
      </c>
      <c r="F192" s="58">
        <v>84</v>
      </c>
      <c r="G192" s="58">
        <v>484213</v>
      </c>
      <c r="H192" s="69">
        <v>45301</v>
      </c>
      <c r="I192" s="88">
        <v>0.09</v>
      </c>
      <c r="J192" s="58">
        <v>1147827.8700000001</v>
      </c>
    </row>
    <row r="193" spans="1:10" ht="15">
      <c r="A193" s="58" t="s">
        <v>747</v>
      </c>
      <c r="B193" s="58" t="s">
        <v>802</v>
      </c>
      <c r="C193" s="58" t="s">
        <v>809</v>
      </c>
      <c r="D193" s="58" t="s">
        <v>811</v>
      </c>
      <c r="E193" s="58">
        <v>12736</v>
      </c>
      <c r="F193" s="58">
        <v>4</v>
      </c>
      <c r="G193" s="58">
        <v>442735</v>
      </c>
      <c r="H193" s="69">
        <v>45641</v>
      </c>
      <c r="I193" s="88">
        <v>0.15</v>
      </c>
      <c r="J193" s="58">
        <v>1969344.8</v>
      </c>
    </row>
    <row r="194" spans="1:10" ht="15">
      <c r="A194" s="58" t="s">
        <v>745</v>
      </c>
      <c r="B194" s="58" t="s">
        <v>797</v>
      </c>
      <c r="C194" s="58" t="s">
        <v>798</v>
      </c>
      <c r="D194" s="58" t="s">
        <v>796</v>
      </c>
      <c r="E194" s="58">
        <v>701161</v>
      </c>
      <c r="F194" s="58">
        <v>5</v>
      </c>
      <c r="G194" s="58">
        <v>106523</v>
      </c>
      <c r="H194" s="69">
        <v>45397</v>
      </c>
      <c r="I194" s="88">
        <v>0.22</v>
      </c>
      <c r="J194" s="58">
        <v>3976804.06</v>
      </c>
    </row>
    <row r="195" spans="1:10" ht="15">
      <c r="A195" s="58" t="s">
        <v>740</v>
      </c>
      <c r="B195" s="58" t="s">
        <v>792</v>
      </c>
      <c r="C195" s="58" t="s">
        <v>799</v>
      </c>
      <c r="D195" s="58" t="s">
        <v>789</v>
      </c>
      <c r="E195" s="58">
        <v>576544</v>
      </c>
      <c r="F195" s="58">
        <v>31</v>
      </c>
      <c r="G195" s="58">
        <v>69871</v>
      </c>
      <c r="H195" s="69">
        <v>45219</v>
      </c>
      <c r="I195" s="88">
        <v>0.44</v>
      </c>
      <c r="J195" s="58">
        <v>2996399.51</v>
      </c>
    </row>
    <row r="196" spans="1:10" ht="15">
      <c r="A196" s="58" t="s">
        <v>746</v>
      </c>
      <c r="B196" s="58" t="s">
        <v>814</v>
      </c>
      <c r="C196" s="58" t="s">
        <v>793</v>
      </c>
      <c r="D196" s="58" t="s">
        <v>812</v>
      </c>
      <c r="E196" s="58">
        <v>1150800</v>
      </c>
      <c r="F196" s="58">
        <v>1</v>
      </c>
      <c r="G196" s="58">
        <v>76717</v>
      </c>
      <c r="H196" s="69">
        <v>44987</v>
      </c>
      <c r="I196" s="88">
        <v>0.18</v>
      </c>
      <c r="J196" s="58">
        <v>3244381.4</v>
      </c>
    </row>
    <row r="197" spans="1:10" ht="15">
      <c r="A197" s="58" t="s">
        <v>747</v>
      </c>
      <c r="B197" s="58" t="s">
        <v>790</v>
      </c>
      <c r="C197" s="58" t="s">
        <v>798</v>
      </c>
      <c r="D197" s="58" t="s">
        <v>800</v>
      </c>
      <c r="E197" s="58">
        <v>4125233</v>
      </c>
      <c r="F197" s="58">
        <v>61</v>
      </c>
      <c r="G197" s="58">
        <v>310145</v>
      </c>
      <c r="H197" s="69">
        <v>45179</v>
      </c>
      <c r="I197" s="88">
        <v>0.35</v>
      </c>
      <c r="J197" s="58">
        <v>2038144.68</v>
      </c>
    </row>
    <row r="198" spans="1:10" ht="15">
      <c r="A198" s="58" t="s">
        <v>740</v>
      </c>
      <c r="B198" s="58" t="s">
        <v>809</v>
      </c>
      <c r="C198" s="58" t="s">
        <v>807</v>
      </c>
      <c r="D198" s="58" t="s">
        <v>789</v>
      </c>
      <c r="E198" s="58">
        <v>932568</v>
      </c>
      <c r="F198" s="58">
        <v>66</v>
      </c>
      <c r="G198" s="58">
        <v>270566</v>
      </c>
      <c r="H198" s="69">
        <v>44945</v>
      </c>
      <c r="I198" s="88">
        <v>0.36</v>
      </c>
      <c r="J198" s="58">
        <v>1778794.65</v>
      </c>
    </row>
    <row r="199" spans="1:10" ht="15">
      <c r="A199" s="58" t="s">
        <v>740</v>
      </c>
      <c r="B199" s="58" t="s">
        <v>809</v>
      </c>
      <c r="C199" s="58" t="s">
        <v>807</v>
      </c>
      <c r="D199" s="58" t="s">
        <v>812</v>
      </c>
      <c r="E199" s="58">
        <v>4050449</v>
      </c>
      <c r="F199" s="58">
        <v>79</v>
      </c>
      <c r="G199" s="58">
        <v>49944</v>
      </c>
      <c r="H199" s="69">
        <v>45424</v>
      </c>
      <c r="I199" s="88">
        <v>0.39</v>
      </c>
      <c r="J199" s="58">
        <v>1135983.78</v>
      </c>
    </row>
    <row r="200" spans="1:10" ht="15">
      <c r="A200" s="58" t="s">
        <v>740</v>
      </c>
      <c r="B200" s="58" t="s">
        <v>814</v>
      </c>
      <c r="C200" s="58" t="s">
        <v>798</v>
      </c>
      <c r="D200" s="58" t="s">
        <v>815</v>
      </c>
      <c r="E200" s="58">
        <v>1724869</v>
      </c>
      <c r="F200" s="58">
        <v>83</v>
      </c>
      <c r="G200" s="58">
        <v>247737</v>
      </c>
      <c r="H200" s="69">
        <v>45512</v>
      </c>
      <c r="I200" s="88">
        <v>0.4</v>
      </c>
      <c r="J200" s="58">
        <v>1270186.3799999999</v>
      </c>
    </row>
    <row r="201" spans="1:10" ht="15">
      <c r="A201" s="58" t="s">
        <v>740</v>
      </c>
      <c r="B201" s="58" t="s">
        <v>792</v>
      </c>
      <c r="C201" s="58" t="s">
        <v>788</v>
      </c>
      <c r="D201" s="58" t="s">
        <v>803</v>
      </c>
      <c r="E201" s="58">
        <v>756838</v>
      </c>
      <c r="F201" s="58">
        <v>8</v>
      </c>
      <c r="G201" s="58">
        <v>77628</v>
      </c>
      <c r="H201" s="69">
        <v>44879</v>
      </c>
      <c r="I201" s="88">
        <v>0.33</v>
      </c>
      <c r="J201" s="58">
        <v>2025637.04</v>
      </c>
    </row>
    <row r="202" spans="1:10" ht="15">
      <c r="A202" s="58" t="s">
        <v>749</v>
      </c>
      <c r="B202" s="58" t="s">
        <v>809</v>
      </c>
      <c r="C202" s="58" t="s">
        <v>798</v>
      </c>
      <c r="D202" s="58" t="s">
        <v>791</v>
      </c>
      <c r="E202" s="58">
        <v>3388381</v>
      </c>
      <c r="F202" s="58">
        <v>19</v>
      </c>
      <c r="G202" s="58">
        <v>403260</v>
      </c>
      <c r="H202" s="69">
        <v>44579</v>
      </c>
      <c r="I202" s="88">
        <v>0.25</v>
      </c>
      <c r="J202" s="58">
        <v>1917910.35</v>
      </c>
    </row>
    <row r="203" spans="1:10" ht="15">
      <c r="A203" s="58" t="s">
        <v>742</v>
      </c>
      <c r="B203" s="58" t="s">
        <v>814</v>
      </c>
      <c r="C203" s="58" t="s">
        <v>809</v>
      </c>
      <c r="D203" s="58" t="s">
        <v>789</v>
      </c>
      <c r="E203" s="58">
        <v>2733274</v>
      </c>
      <c r="F203" s="58">
        <v>55</v>
      </c>
      <c r="G203" s="58">
        <v>239899</v>
      </c>
      <c r="H203" s="69">
        <v>45512</v>
      </c>
      <c r="I203" s="88">
        <v>0.23</v>
      </c>
      <c r="J203" s="58">
        <v>459431.78</v>
      </c>
    </row>
    <row r="204" spans="1:10" ht="15">
      <c r="A204" s="58" t="s">
        <v>740</v>
      </c>
      <c r="B204" s="58" t="s">
        <v>790</v>
      </c>
      <c r="C204" s="58" t="s">
        <v>807</v>
      </c>
      <c r="D204" s="58" t="s">
        <v>803</v>
      </c>
      <c r="E204" s="58">
        <v>3840798</v>
      </c>
      <c r="F204" s="58">
        <v>31</v>
      </c>
      <c r="G204" s="58">
        <v>137690</v>
      </c>
      <c r="H204" s="69">
        <v>45456</v>
      </c>
      <c r="I204" s="88">
        <v>7.0000000000000007E-2</v>
      </c>
      <c r="J204" s="58">
        <v>2175747.21</v>
      </c>
    </row>
    <row r="205" spans="1:10" ht="15">
      <c r="A205" s="58" t="s">
        <v>742</v>
      </c>
      <c r="B205" s="58" t="s">
        <v>802</v>
      </c>
      <c r="C205" s="58" t="s">
        <v>809</v>
      </c>
      <c r="D205" s="58" t="s">
        <v>813</v>
      </c>
      <c r="E205" s="58">
        <v>3748304</v>
      </c>
      <c r="F205" s="58">
        <v>77</v>
      </c>
      <c r="G205" s="58">
        <v>279590</v>
      </c>
      <c r="H205" s="69">
        <v>45368</v>
      </c>
      <c r="I205" s="88">
        <v>0.49</v>
      </c>
      <c r="J205" s="58">
        <v>2698245.48</v>
      </c>
    </row>
    <row r="206" spans="1:10" ht="15">
      <c r="A206" s="58" t="s">
        <v>747</v>
      </c>
      <c r="B206" s="58" t="s">
        <v>804</v>
      </c>
      <c r="C206" s="58" t="s">
        <v>799</v>
      </c>
      <c r="D206" s="58" t="s">
        <v>812</v>
      </c>
      <c r="E206" s="58">
        <v>3075057</v>
      </c>
      <c r="F206" s="58">
        <v>20</v>
      </c>
      <c r="G206" s="58">
        <v>304857</v>
      </c>
      <c r="H206" s="69">
        <v>45115</v>
      </c>
      <c r="I206" s="88">
        <v>0.01</v>
      </c>
      <c r="J206" s="58">
        <v>2892655.41</v>
      </c>
    </row>
    <row r="207" spans="1:10" ht="15">
      <c r="A207" s="58" t="s">
        <v>745</v>
      </c>
      <c r="B207" s="58" t="s">
        <v>792</v>
      </c>
      <c r="C207" s="58" t="s">
        <v>798</v>
      </c>
      <c r="D207" s="58" t="s">
        <v>806</v>
      </c>
      <c r="E207" s="58">
        <v>3204053</v>
      </c>
      <c r="F207" s="58">
        <v>34</v>
      </c>
      <c r="G207" s="58">
        <v>148330</v>
      </c>
      <c r="H207" s="69">
        <v>45332</v>
      </c>
      <c r="I207" s="88">
        <v>0.08</v>
      </c>
      <c r="J207" s="58">
        <v>1205523</v>
      </c>
    </row>
    <row r="208" spans="1:10" ht="15">
      <c r="A208" s="58" t="s">
        <v>748</v>
      </c>
      <c r="B208" s="58" t="s">
        <v>804</v>
      </c>
      <c r="C208" s="58" t="s">
        <v>798</v>
      </c>
      <c r="D208" s="58" t="s">
        <v>812</v>
      </c>
      <c r="E208" s="58">
        <v>4308464</v>
      </c>
      <c r="F208" s="58">
        <v>53</v>
      </c>
      <c r="G208" s="58">
        <v>473148</v>
      </c>
      <c r="H208" s="69">
        <v>45248</v>
      </c>
      <c r="I208" s="88">
        <v>0.1</v>
      </c>
      <c r="J208" s="58">
        <v>2279273.6</v>
      </c>
    </row>
    <row r="209" spans="1:10" ht="15">
      <c r="A209" s="58" t="s">
        <v>744</v>
      </c>
      <c r="B209" s="58" t="s">
        <v>804</v>
      </c>
      <c r="C209" s="58" t="s">
        <v>799</v>
      </c>
      <c r="D209" s="58" t="s">
        <v>796</v>
      </c>
      <c r="E209" s="58">
        <v>4468406</v>
      </c>
      <c r="F209" s="58">
        <v>36</v>
      </c>
      <c r="G209" s="58">
        <v>449510</v>
      </c>
      <c r="H209" s="69">
        <v>44958</v>
      </c>
      <c r="I209" s="88">
        <v>0.37</v>
      </c>
      <c r="J209" s="58">
        <v>231727.5</v>
      </c>
    </row>
    <row r="210" spans="1:10" ht="15">
      <c r="A210" s="58" t="s">
        <v>740</v>
      </c>
      <c r="B210" s="58" t="s">
        <v>787</v>
      </c>
      <c r="C210" s="58" t="s">
        <v>799</v>
      </c>
      <c r="D210" s="58" t="s">
        <v>815</v>
      </c>
      <c r="E210" s="58">
        <v>2540976</v>
      </c>
      <c r="F210" s="58">
        <v>49</v>
      </c>
      <c r="G210" s="58">
        <v>313596</v>
      </c>
      <c r="H210" s="69">
        <v>45326</v>
      </c>
      <c r="I210" s="88">
        <v>0.25</v>
      </c>
      <c r="J210" s="58">
        <v>119252.56</v>
      </c>
    </row>
    <row r="211" spans="1:10" ht="15">
      <c r="A211" s="58" t="s">
        <v>747</v>
      </c>
      <c r="B211" s="58" t="s">
        <v>808</v>
      </c>
      <c r="C211" s="58" t="s">
        <v>788</v>
      </c>
      <c r="D211" s="58" t="s">
        <v>789</v>
      </c>
      <c r="E211" s="58">
        <v>2888943</v>
      </c>
      <c r="F211" s="58">
        <v>25</v>
      </c>
      <c r="G211" s="58">
        <v>392332</v>
      </c>
      <c r="H211" s="69">
        <v>45370</v>
      </c>
      <c r="I211" s="88">
        <v>7.0000000000000007E-2</v>
      </c>
      <c r="J211" s="58">
        <v>1022997.36</v>
      </c>
    </row>
    <row r="212" spans="1:10" ht="15">
      <c r="A212" s="58" t="s">
        <v>743</v>
      </c>
      <c r="B212" s="58" t="s">
        <v>792</v>
      </c>
      <c r="C212" s="58" t="s">
        <v>795</v>
      </c>
      <c r="D212" s="58" t="s">
        <v>813</v>
      </c>
      <c r="E212" s="58">
        <v>4354561</v>
      </c>
      <c r="F212" s="58">
        <v>87</v>
      </c>
      <c r="G212" s="58">
        <v>103614</v>
      </c>
      <c r="H212" s="69">
        <v>45025</v>
      </c>
      <c r="I212" s="88">
        <v>0.08</v>
      </c>
      <c r="J212" s="58">
        <v>2461262.2799999998</v>
      </c>
    </row>
    <row r="213" spans="1:10" ht="15">
      <c r="A213" s="58" t="s">
        <v>747</v>
      </c>
      <c r="B213" s="58" t="s">
        <v>808</v>
      </c>
      <c r="C213" s="58" t="s">
        <v>799</v>
      </c>
      <c r="D213" s="58" t="s">
        <v>813</v>
      </c>
      <c r="E213" s="58">
        <v>4667247</v>
      </c>
      <c r="F213" s="58">
        <v>75</v>
      </c>
      <c r="G213" s="58">
        <v>259304</v>
      </c>
      <c r="H213" s="69">
        <v>45376</v>
      </c>
      <c r="I213" s="88">
        <v>0.16</v>
      </c>
      <c r="J213" s="58">
        <v>538574.67000000004</v>
      </c>
    </row>
    <row r="214" spans="1:10" ht="15">
      <c r="A214" s="58" t="s">
        <v>747</v>
      </c>
      <c r="B214" s="58" t="s">
        <v>814</v>
      </c>
      <c r="C214" s="58" t="s">
        <v>807</v>
      </c>
      <c r="D214" s="58" t="s">
        <v>811</v>
      </c>
      <c r="E214" s="58">
        <v>3348471</v>
      </c>
      <c r="F214" s="58">
        <v>32</v>
      </c>
      <c r="G214" s="58">
        <v>379528</v>
      </c>
      <c r="H214" s="69">
        <v>45308</v>
      </c>
      <c r="I214" s="88">
        <v>0.35</v>
      </c>
      <c r="J214" s="58">
        <v>3423226.56</v>
      </c>
    </row>
    <row r="215" spans="1:10" ht="15">
      <c r="A215" s="58" t="s">
        <v>747</v>
      </c>
      <c r="B215" s="58" t="s">
        <v>797</v>
      </c>
      <c r="C215" s="58" t="s">
        <v>788</v>
      </c>
      <c r="D215" s="58" t="s">
        <v>796</v>
      </c>
      <c r="E215" s="58">
        <v>2258996</v>
      </c>
      <c r="F215" s="58">
        <v>57</v>
      </c>
      <c r="G215" s="58">
        <v>226752</v>
      </c>
      <c r="H215" s="69">
        <v>45064</v>
      </c>
      <c r="I215" s="88">
        <v>0.04</v>
      </c>
      <c r="J215" s="58">
        <v>2019543.96</v>
      </c>
    </row>
    <row r="216" spans="1:10" ht="15">
      <c r="A216" s="58" t="s">
        <v>747</v>
      </c>
      <c r="B216" s="58" t="s">
        <v>804</v>
      </c>
      <c r="C216" s="58" t="s">
        <v>809</v>
      </c>
      <c r="D216" s="58" t="s">
        <v>803</v>
      </c>
      <c r="E216" s="58">
        <v>372076</v>
      </c>
      <c r="F216" s="58">
        <v>62</v>
      </c>
      <c r="G216" s="58">
        <v>144802</v>
      </c>
      <c r="H216" s="69">
        <v>44734</v>
      </c>
      <c r="I216" s="88">
        <v>0.45</v>
      </c>
      <c r="J216" s="58">
        <v>1077013.21</v>
      </c>
    </row>
    <row r="217" spans="1:10" ht="15">
      <c r="A217" s="58" t="s">
        <v>741</v>
      </c>
      <c r="B217" s="58" t="s">
        <v>790</v>
      </c>
      <c r="C217" s="58" t="s">
        <v>799</v>
      </c>
      <c r="D217" s="58" t="s">
        <v>806</v>
      </c>
      <c r="E217" s="58">
        <v>4963232</v>
      </c>
      <c r="F217" s="58">
        <v>46</v>
      </c>
      <c r="G217" s="58">
        <v>162387</v>
      </c>
      <c r="H217" s="69">
        <v>44658</v>
      </c>
      <c r="I217" s="88">
        <v>0.36</v>
      </c>
      <c r="J217" s="58">
        <v>1147511.94</v>
      </c>
    </row>
    <row r="218" spans="1:10" ht="15">
      <c r="A218" s="58" t="s">
        <v>749</v>
      </c>
      <c r="B218" s="58" t="s">
        <v>790</v>
      </c>
      <c r="C218" s="58" t="s">
        <v>799</v>
      </c>
      <c r="D218" s="58" t="s">
        <v>812</v>
      </c>
      <c r="E218" s="58">
        <v>2739040</v>
      </c>
      <c r="F218" s="58">
        <v>9</v>
      </c>
      <c r="G218" s="58">
        <v>262216</v>
      </c>
      <c r="H218" s="69">
        <v>44994</v>
      </c>
      <c r="I218" s="88">
        <v>0.21</v>
      </c>
      <c r="J218" s="58">
        <v>2547510</v>
      </c>
    </row>
    <row r="219" spans="1:10" ht="15">
      <c r="A219" s="58" t="s">
        <v>748</v>
      </c>
      <c r="B219" s="58" t="s">
        <v>809</v>
      </c>
      <c r="C219" s="58" t="s">
        <v>799</v>
      </c>
      <c r="D219" s="58" t="s">
        <v>806</v>
      </c>
      <c r="E219" s="58">
        <v>2782289</v>
      </c>
      <c r="F219" s="58">
        <v>74</v>
      </c>
      <c r="G219" s="58">
        <v>314450</v>
      </c>
      <c r="H219" s="69">
        <v>45483</v>
      </c>
      <c r="I219" s="88">
        <v>0.21</v>
      </c>
      <c r="J219" s="58">
        <v>2872604.68</v>
      </c>
    </row>
    <row r="220" spans="1:10" ht="15">
      <c r="A220" s="58" t="s">
        <v>740</v>
      </c>
      <c r="B220" s="58" t="s">
        <v>790</v>
      </c>
      <c r="C220" s="58" t="s">
        <v>798</v>
      </c>
      <c r="D220" s="58" t="s">
        <v>791</v>
      </c>
      <c r="E220" s="58">
        <v>1880985</v>
      </c>
      <c r="F220" s="58">
        <v>45</v>
      </c>
      <c r="G220" s="58">
        <v>374709</v>
      </c>
      <c r="H220" s="69">
        <v>45391</v>
      </c>
      <c r="I220" s="88">
        <v>0.03</v>
      </c>
      <c r="J220" s="58">
        <v>1250858.24</v>
      </c>
    </row>
    <row r="221" spans="1:10" ht="15">
      <c r="A221" s="58" t="s">
        <v>747</v>
      </c>
      <c r="B221" s="58" t="s">
        <v>809</v>
      </c>
      <c r="C221" s="58" t="s">
        <v>799</v>
      </c>
      <c r="D221" s="58" t="s">
        <v>796</v>
      </c>
      <c r="E221" s="58">
        <v>4206889</v>
      </c>
      <c r="F221" s="58">
        <v>23</v>
      </c>
      <c r="G221" s="58">
        <v>457614</v>
      </c>
      <c r="H221" s="69">
        <v>44768</v>
      </c>
      <c r="I221" s="88">
        <v>0.05</v>
      </c>
      <c r="J221" s="58">
        <v>3492894.79</v>
      </c>
    </row>
    <row r="222" spans="1:10" ht="15">
      <c r="A222" s="58" t="s">
        <v>749</v>
      </c>
      <c r="B222" s="58" t="s">
        <v>797</v>
      </c>
      <c r="C222" s="58" t="s">
        <v>798</v>
      </c>
      <c r="D222" s="58" t="s">
        <v>813</v>
      </c>
      <c r="E222" s="58">
        <v>543779</v>
      </c>
      <c r="F222" s="58">
        <v>58</v>
      </c>
      <c r="G222" s="58">
        <v>259550</v>
      </c>
      <c r="H222" s="69">
        <v>45196</v>
      </c>
      <c r="I222" s="88">
        <v>0.25</v>
      </c>
      <c r="J222" s="58">
        <v>591215.31000000006</v>
      </c>
    </row>
    <row r="223" spans="1:10" ht="15">
      <c r="A223" s="58" t="s">
        <v>742</v>
      </c>
      <c r="B223" s="58" t="s">
        <v>804</v>
      </c>
      <c r="C223" s="58" t="s">
        <v>798</v>
      </c>
      <c r="D223" s="58" t="s">
        <v>796</v>
      </c>
      <c r="E223" s="58">
        <v>580350</v>
      </c>
      <c r="F223" s="58">
        <v>100</v>
      </c>
      <c r="G223" s="58">
        <v>354932</v>
      </c>
      <c r="H223" s="69">
        <v>44915</v>
      </c>
      <c r="I223" s="88">
        <v>0.32</v>
      </c>
      <c r="J223" s="58">
        <v>2056800.35</v>
      </c>
    </row>
    <row r="224" spans="1:10" ht="15">
      <c r="A224" s="58" t="s">
        <v>749</v>
      </c>
      <c r="B224" s="58" t="s">
        <v>814</v>
      </c>
      <c r="C224" s="58" t="s">
        <v>809</v>
      </c>
      <c r="D224" s="58" t="s">
        <v>791</v>
      </c>
      <c r="E224" s="58">
        <v>172486</v>
      </c>
      <c r="F224" s="58">
        <v>14</v>
      </c>
      <c r="G224" s="58">
        <v>15449</v>
      </c>
      <c r="H224" s="69">
        <v>45147</v>
      </c>
      <c r="I224" s="88">
        <v>0.13</v>
      </c>
      <c r="J224" s="58">
        <v>3966066.95</v>
      </c>
    </row>
    <row r="225" spans="1:10" ht="15">
      <c r="A225" s="58" t="s">
        <v>748</v>
      </c>
      <c r="B225" s="58" t="s">
        <v>802</v>
      </c>
      <c r="C225" s="58" t="s">
        <v>809</v>
      </c>
      <c r="D225" s="58" t="s">
        <v>796</v>
      </c>
      <c r="E225" s="58">
        <v>2401191</v>
      </c>
      <c r="F225" s="58">
        <v>81</v>
      </c>
      <c r="G225" s="58">
        <v>34648</v>
      </c>
      <c r="H225" s="69">
        <v>45525</v>
      </c>
      <c r="I225" s="88">
        <v>0.28000000000000003</v>
      </c>
      <c r="J225" s="58">
        <v>764790.6</v>
      </c>
    </row>
    <row r="226" spans="1:10" ht="15">
      <c r="A226" s="58" t="s">
        <v>740</v>
      </c>
      <c r="B226" s="58" t="s">
        <v>808</v>
      </c>
      <c r="C226" s="58" t="s">
        <v>799</v>
      </c>
      <c r="D226" s="58" t="s">
        <v>789</v>
      </c>
      <c r="E226" s="58">
        <v>4370392</v>
      </c>
      <c r="F226" s="58">
        <v>92</v>
      </c>
      <c r="G226" s="58">
        <v>183985</v>
      </c>
      <c r="H226" s="69">
        <v>45549</v>
      </c>
      <c r="I226" s="88">
        <v>0.18</v>
      </c>
      <c r="J226" s="58">
        <v>2541473.5499999998</v>
      </c>
    </row>
    <row r="227" spans="1:10" ht="15">
      <c r="A227" s="58" t="s">
        <v>744</v>
      </c>
      <c r="B227" s="58" t="s">
        <v>808</v>
      </c>
      <c r="C227" s="58" t="s">
        <v>809</v>
      </c>
      <c r="D227" s="58" t="s">
        <v>791</v>
      </c>
      <c r="E227" s="58">
        <v>1987570</v>
      </c>
      <c r="F227" s="58">
        <v>16</v>
      </c>
      <c r="G227" s="58">
        <v>291023</v>
      </c>
      <c r="H227" s="69">
        <v>44781</v>
      </c>
      <c r="I227" s="88">
        <v>0.46</v>
      </c>
      <c r="J227" s="58">
        <v>2114277</v>
      </c>
    </row>
    <row r="228" spans="1:10" ht="15">
      <c r="A228" s="58" t="s">
        <v>745</v>
      </c>
      <c r="B228" s="58" t="s">
        <v>792</v>
      </c>
      <c r="C228" s="58" t="s">
        <v>793</v>
      </c>
      <c r="D228" s="58" t="s">
        <v>811</v>
      </c>
      <c r="E228" s="58">
        <v>4728603</v>
      </c>
      <c r="F228" s="58">
        <v>30</v>
      </c>
      <c r="G228" s="58">
        <v>426733</v>
      </c>
      <c r="H228" s="69">
        <v>44953</v>
      </c>
      <c r="I228" s="88">
        <v>0.11</v>
      </c>
      <c r="J228" s="58">
        <v>3135557.52</v>
      </c>
    </row>
    <row r="229" spans="1:10" ht="15">
      <c r="A229" s="58" t="s">
        <v>748</v>
      </c>
      <c r="B229" s="58" t="s">
        <v>809</v>
      </c>
      <c r="C229" s="58" t="s">
        <v>799</v>
      </c>
      <c r="D229" s="58" t="s">
        <v>811</v>
      </c>
      <c r="E229" s="58">
        <v>3480955</v>
      </c>
      <c r="F229" s="58">
        <v>53</v>
      </c>
      <c r="G229" s="58">
        <v>4480</v>
      </c>
      <c r="H229" s="69">
        <v>45088</v>
      </c>
      <c r="I229" s="88">
        <v>0.05</v>
      </c>
      <c r="J229" s="58">
        <v>1455825.59</v>
      </c>
    </row>
    <row r="230" spans="1:10" ht="15">
      <c r="A230" s="58" t="s">
        <v>749</v>
      </c>
      <c r="B230" s="58" t="s">
        <v>802</v>
      </c>
      <c r="C230" s="58" t="s">
        <v>809</v>
      </c>
      <c r="D230" s="58" t="s">
        <v>789</v>
      </c>
      <c r="E230" s="58">
        <v>3651734</v>
      </c>
      <c r="F230" s="58">
        <v>100</v>
      </c>
      <c r="G230" s="58">
        <v>78820</v>
      </c>
      <c r="H230" s="69">
        <v>45614</v>
      </c>
      <c r="I230" s="88">
        <v>0.39</v>
      </c>
      <c r="J230" s="58">
        <v>376282.65</v>
      </c>
    </row>
    <row r="231" spans="1:10" ht="15">
      <c r="A231" s="58" t="s">
        <v>741</v>
      </c>
      <c r="B231" s="58" t="s">
        <v>808</v>
      </c>
      <c r="C231" s="58" t="s">
        <v>807</v>
      </c>
      <c r="D231" s="58" t="s">
        <v>815</v>
      </c>
      <c r="E231" s="58">
        <v>1649124</v>
      </c>
      <c r="F231" s="58">
        <v>71</v>
      </c>
      <c r="G231" s="58">
        <v>135593</v>
      </c>
      <c r="H231" s="69">
        <v>45142</v>
      </c>
      <c r="I231" s="88">
        <v>0.47</v>
      </c>
      <c r="J231" s="58">
        <v>2791579.05</v>
      </c>
    </row>
    <row r="232" spans="1:10" ht="15">
      <c r="A232" s="58" t="s">
        <v>746</v>
      </c>
      <c r="B232" s="58" t="s">
        <v>809</v>
      </c>
      <c r="C232" s="58" t="s">
        <v>798</v>
      </c>
      <c r="D232" s="58" t="s">
        <v>805</v>
      </c>
      <c r="E232" s="58">
        <v>554685</v>
      </c>
      <c r="F232" s="58">
        <v>42</v>
      </c>
      <c r="G232" s="58">
        <v>146035</v>
      </c>
      <c r="H232" s="69">
        <v>45256</v>
      </c>
      <c r="I232" s="88">
        <v>0.11</v>
      </c>
      <c r="J232" s="58">
        <v>1705995.9</v>
      </c>
    </row>
    <row r="233" spans="1:10" ht="15">
      <c r="A233" s="58" t="s">
        <v>746</v>
      </c>
      <c r="B233" s="58" t="s">
        <v>787</v>
      </c>
      <c r="C233" s="58" t="s">
        <v>807</v>
      </c>
      <c r="D233" s="58" t="s">
        <v>815</v>
      </c>
      <c r="E233" s="58">
        <v>2701624</v>
      </c>
      <c r="F233" s="58">
        <v>50</v>
      </c>
      <c r="G233" s="58">
        <v>204157</v>
      </c>
      <c r="H233" s="69">
        <v>45188</v>
      </c>
      <c r="I233" s="88">
        <v>0.26</v>
      </c>
      <c r="J233" s="58">
        <v>1007207.76</v>
      </c>
    </row>
    <row r="234" spans="1:10" ht="15">
      <c r="A234" s="58" t="s">
        <v>747</v>
      </c>
      <c r="B234" s="58" t="s">
        <v>790</v>
      </c>
      <c r="C234" s="58" t="s">
        <v>809</v>
      </c>
      <c r="D234" s="58" t="s">
        <v>803</v>
      </c>
      <c r="E234" s="58">
        <v>4098837</v>
      </c>
      <c r="F234" s="58">
        <v>71</v>
      </c>
      <c r="G234" s="58">
        <v>48966</v>
      </c>
      <c r="H234" s="69">
        <v>45353</v>
      </c>
      <c r="I234" s="88">
        <v>0.43</v>
      </c>
      <c r="J234" s="58">
        <v>2689965.46</v>
      </c>
    </row>
    <row r="235" spans="1:10" ht="15">
      <c r="A235" s="58" t="s">
        <v>740</v>
      </c>
      <c r="B235" s="58" t="s">
        <v>787</v>
      </c>
      <c r="C235" s="58" t="s">
        <v>793</v>
      </c>
      <c r="D235" s="58" t="s">
        <v>812</v>
      </c>
      <c r="E235" s="58">
        <v>101128</v>
      </c>
      <c r="F235" s="58">
        <v>20</v>
      </c>
      <c r="G235" s="58">
        <v>451547</v>
      </c>
      <c r="H235" s="69">
        <v>44961</v>
      </c>
      <c r="I235" s="88">
        <v>0.37</v>
      </c>
      <c r="J235" s="58">
        <v>808972.78</v>
      </c>
    </row>
    <row r="236" spans="1:10" ht="15">
      <c r="A236" s="58" t="s">
        <v>745</v>
      </c>
      <c r="B236" s="58" t="s">
        <v>794</v>
      </c>
      <c r="C236" s="58" t="s">
        <v>793</v>
      </c>
      <c r="D236" s="58" t="s">
        <v>800</v>
      </c>
      <c r="E236" s="58">
        <v>3492735</v>
      </c>
      <c r="F236" s="58">
        <v>10</v>
      </c>
      <c r="G236" s="58">
        <v>210134</v>
      </c>
      <c r="H236" s="69">
        <v>44632</v>
      </c>
      <c r="I236" s="88">
        <v>0.23</v>
      </c>
      <c r="J236" s="58">
        <v>1331661.1299999999</v>
      </c>
    </row>
    <row r="237" spans="1:10" ht="15">
      <c r="A237" s="58" t="s">
        <v>743</v>
      </c>
      <c r="B237" s="58" t="s">
        <v>792</v>
      </c>
      <c r="C237" s="58" t="s">
        <v>798</v>
      </c>
      <c r="D237" s="58" t="s">
        <v>805</v>
      </c>
      <c r="E237" s="58">
        <v>2778159</v>
      </c>
      <c r="F237" s="58">
        <v>86</v>
      </c>
      <c r="G237" s="58">
        <v>445810</v>
      </c>
      <c r="H237" s="69">
        <v>44862</v>
      </c>
      <c r="I237" s="88">
        <v>0.19</v>
      </c>
      <c r="J237" s="58">
        <v>369509.76</v>
      </c>
    </row>
    <row r="238" spans="1:10" ht="15">
      <c r="A238" s="58" t="s">
        <v>749</v>
      </c>
      <c r="B238" s="58" t="s">
        <v>792</v>
      </c>
      <c r="C238" s="58" t="s">
        <v>809</v>
      </c>
      <c r="D238" s="58" t="s">
        <v>806</v>
      </c>
      <c r="E238" s="58">
        <v>3861854</v>
      </c>
      <c r="F238" s="58">
        <v>35</v>
      </c>
      <c r="G238" s="58">
        <v>297943</v>
      </c>
      <c r="H238" s="69">
        <v>44717</v>
      </c>
      <c r="I238" s="88">
        <v>0.43</v>
      </c>
      <c r="J238" s="58">
        <v>3271492.8</v>
      </c>
    </row>
    <row r="239" spans="1:10" ht="15">
      <c r="A239" s="58" t="s">
        <v>743</v>
      </c>
      <c r="B239" s="58" t="s">
        <v>802</v>
      </c>
      <c r="C239" s="58" t="s">
        <v>807</v>
      </c>
      <c r="D239" s="58" t="s">
        <v>796</v>
      </c>
      <c r="E239" s="58">
        <v>1521665</v>
      </c>
      <c r="F239" s="58">
        <v>39</v>
      </c>
      <c r="G239" s="58">
        <v>166513</v>
      </c>
      <c r="H239" s="69">
        <v>45021</v>
      </c>
      <c r="I239" s="88">
        <v>0.3</v>
      </c>
      <c r="J239" s="58">
        <v>3663117.02</v>
      </c>
    </row>
    <row r="240" spans="1:10" ht="15">
      <c r="A240" s="58" t="s">
        <v>741</v>
      </c>
      <c r="B240" s="58" t="s">
        <v>787</v>
      </c>
      <c r="C240" s="58" t="s">
        <v>807</v>
      </c>
      <c r="D240" s="58" t="s">
        <v>803</v>
      </c>
      <c r="E240" s="58">
        <v>2940690</v>
      </c>
      <c r="F240" s="58">
        <v>2</v>
      </c>
      <c r="G240" s="58">
        <v>454321</v>
      </c>
      <c r="H240" s="69">
        <v>45331</v>
      </c>
      <c r="I240" s="88">
        <v>0.32</v>
      </c>
      <c r="J240" s="58">
        <v>1569765.78</v>
      </c>
    </row>
    <row r="241" spans="1:10" ht="15">
      <c r="A241" s="58" t="s">
        <v>744</v>
      </c>
      <c r="B241" s="58" t="s">
        <v>802</v>
      </c>
      <c r="C241" s="58" t="s">
        <v>799</v>
      </c>
      <c r="D241" s="58" t="s">
        <v>796</v>
      </c>
      <c r="E241" s="58">
        <v>1487846</v>
      </c>
      <c r="F241" s="58">
        <v>83</v>
      </c>
      <c r="G241" s="58">
        <v>134281</v>
      </c>
      <c r="H241" s="69">
        <v>44986</v>
      </c>
      <c r="I241" s="88">
        <v>0.3</v>
      </c>
      <c r="J241" s="58">
        <v>213210.72</v>
      </c>
    </row>
    <row r="242" spans="1:10" ht="15">
      <c r="A242" s="58" t="s">
        <v>749</v>
      </c>
      <c r="B242" s="58" t="s">
        <v>787</v>
      </c>
      <c r="C242" s="58" t="s">
        <v>799</v>
      </c>
      <c r="D242" s="58" t="s">
        <v>812</v>
      </c>
      <c r="E242" s="58">
        <v>2851741</v>
      </c>
      <c r="F242" s="58">
        <v>30</v>
      </c>
      <c r="G242" s="58">
        <v>95123</v>
      </c>
      <c r="H242" s="69">
        <v>45021</v>
      </c>
      <c r="I242" s="88">
        <v>0.37</v>
      </c>
      <c r="J242" s="58">
        <v>1736967.84</v>
      </c>
    </row>
    <row r="243" spans="1:10" ht="15">
      <c r="A243" s="58" t="s">
        <v>747</v>
      </c>
      <c r="B243" s="58" t="s">
        <v>797</v>
      </c>
      <c r="C243" s="58" t="s">
        <v>798</v>
      </c>
      <c r="D243" s="58" t="s">
        <v>791</v>
      </c>
      <c r="E243" s="58">
        <v>4203791</v>
      </c>
      <c r="F243" s="58">
        <v>35</v>
      </c>
      <c r="G243" s="58">
        <v>457457</v>
      </c>
      <c r="H243" s="69">
        <v>44784</v>
      </c>
      <c r="I243" s="88">
        <v>0.34</v>
      </c>
      <c r="J243" s="58">
        <v>4839702.12</v>
      </c>
    </row>
    <row r="244" spans="1:10" ht="15">
      <c r="A244" s="58" t="s">
        <v>744</v>
      </c>
      <c r="B244" s="58" t="s">
        <v>792</v>
      </c>
      <c r="C244" s="58" t="s">
        <v>798</v>
      </c>
      <c r="D244" s="58" t="s">
        <v>791</v>
      </c>
      <c r="E244" s="58">
        <v>54986</v>
      </c>
      <c r="F244" s="58">
        <v>66</v>
      </c>
      <c r="G244" s="58">
        <v>284447</v>
      </c>
      <c r="H244" s="69">
        <v>45020</v>
      </c>
      <c r="I244" s="88">
        <v>0.35</v>
      </c>
      <c r="J244" s="58">
        <v>1075175.3999999999</v>
      </c>
    </row>
    <row r="245" spans="1:10" ht="15">
      <c r="A245" s="58" t="s">
        <v>743</v>
      </c>
      <c r="B245" s="58" t="s">
        <v>808</v>
      </c>
      <c r="C245" s="58" t="s">
        <v>799</v>
      </c>
      <c r="D245" s="58" t="s">
        <v>789</v>
      </c>
      <c r="E245" s="58">
        <v>77361</v>
      </c>
      <c r="F245" s="58">
        <v>86</v>
      </c>
      <c r="G245" s="58">
        <v>418054</v>
      </c>
      <c r="H245" s="69">
        <v>44737</v>
      </c>
      <c r="I245" s="88">
        <v>0.49</v>
      </c>
      <c r="J245" s="58">
        <v>2529245.88</v>
      </c>
    </row>
    <row r="246" spans="1:10" ht="15">
      <c r="A246" s="58" t="s">
        <v>744</v>
      </c>
      <c r="B246" s="58" t="s">
        <v>804</v>
      </c>
      <c r="C246" s="58" t="s">
        <v>788</v>
      </c>
      <c r="D246" s="58" t="s">
        <v>812</v>
      </c>
      <c r="E246" s="58">
        <v>2547269</v>
      </c>
      <c r="F246" s="58">
        <v>21</v>
      </c>
      <c r="G246" s="58">
        <v>402349</v>
      </c>
      <c r="H246" s="69">
        <v>45269</v>
      </c>
      <c r="I246" s="88">
        <v>0.28000000000000003</v>
      </c>
      <c r="J246" s="58">
        <v>406192.16</v>
      </c>
    </row>
    <row r="247" spans="1:10" ht="15">
      <c r="A247" s="58" t="s">
        <v>741</v>
      </c>
      <c r="B247" s="58" t="s">
        <v>814</v>
      </c>
      <c r="C247" s="58" t="s">
        <v>798</v>
      </c>
      <c r="D247" s="58" t="s">
        <v>796</v>
      </c>
      <c r="E247" s="58">
        <v>2980550</v>
      </c>
      <c r="F247" s="58">
        <v>9</v>
      </c>
      <c r="G247" s="58">
        <v>160061</v>
      </c>
      <c r="H247" s="69">
        <v>45619</v>
      </c>
      <c r="I247" s="88">
        <v>0.47</v>
      </c>
      <c r="J247" s="58">
        <v>95482.17</v>
      </c>
    </row>
    <row r="248" spans="1:10" ht="15">
      <c r="A248" s="58" t="s">
        <v>743</v>
      </c>
      <c r="B248" s="58" t="s">
        <v>794</v>
      </c>
      <c r="C248" s="58" t="s">
        <v>809</v>
      </c>
      <c r="D248" s="58" t="s">
        <v>791</v>
      </c>
      <c r="E248" s="58">
        <v>2828765</v>
      </c>
      <c r="F248" s="58">
        <v>18</v>
      </c>
      <c r="G248" s="58">
        <v>207293</v>
      </c>
      <c r="H248" s="69">
        <v>45124</v>
      </c>
      <c r="I248" s="88">
        <v>0.42</v>
      </c>
      <c r="J248" s="58">
        <v>2926320.54</v>
      </c>
    </row>
    <row r="249" spans="1:10" ht="15">
      <c r="A249" s="58" t="s">
        <v>740</v>
      </c>
      <c r="B249" s="58" t="s">
        <v>808</v>
      </c>
      <c r="C249" s="58" t="s">
        <v>799</v>
      </c>
      <c r="D249" s="58" t="s">
        <v>791</v>
      </c>
      <c r="E249" s="58">
        <v>2010872</v>
      </c>
      <c r="F249" s="58">
        <v>12</v>
      </c>
      <c r="G249" s="58">
        <v>120532</v>
      </c>
      <c r="H249" s="69">
        <v>45378</v>
      </c>
      <c r="I249" s="88">
        <v>0.22</v>
      </c>
      <c r="J249" s="58">
        <v>1328824.6399999999</v>
      </c>
    </row>
    <row r="250" spans="1:10" ht="15">
      <c r="A250" s="58" t="s">
        <v>744</v>
      </c>
      <c r="B250" s="58" t="s">
        <v>787</v>
      </c>
      <c r="C250" s="58" t="s">
        <v>807</v>
      </c>
      <c r="D250" s="58" t="s">
        <v>789</v>
      </c>
      <c r="E250" s="58">
        <v>749120</v>
      </c>
      <c r="F250" s="58">
        <v>34</v>
      </c>
      <c r="G250" s="58">
        <v>147034</v>
      </c>
      <c r="H250" s="69">
        <v>44817</v>
      </c>
      <c r="I250" s="88">
        <v>0.32</v>
      </c>
      <c r="J250" s="58">
        <v>3155905.2</v>
      </c>
    </row>
    <row r="251" spans="1:10" ht="15">
      <c r="A251" s="58" t="s">
        <v>748</v>
      </c>
      <c r="B251" s="58" t="s">
        <v>804</v>
      </c>
      <c r="C251" s="58" t="s">
        <v>793</v>
      </c>
      <c r="D251" s="58" t="s">
        <v>813</v>
      </c>
      <c r="E251" s="58">
        <v>3070010</v>
      </c>
      <c r="F251" s="58">
        <v>68</v>
      </c>
      <c r="G251" s="58">
        <v>289488</v>
      </c>
      <c r="H251" s="69">
        <v>45406</v>
      </c>
      <c r="I251" s="88">
        <v>7.0000000000000007E-2</v>
      </c>
      <c r="J251" s="58">
        <v>333566.82</v>
      </c>
    </row>
    <row r="252" spans="1:10" ht="15">
      <c r="A252" s="58" t="s">
        <v>745</v>
      </c>
      <c r="B252" s="58" t="s">
        <v>804</v>
      </c>
      <c r="C252" s="58" t="s">
        <v>809</v>
      </c>
      <c r="D252" s="58" t="s">
        <v>801</v>
      </c>
      <c r="E252" s="58">
        <v>3250834</v>
      </c>
      <c r="F252" s="58">
        <v>92</v>
      </c>
      <c r="G252" s="58">
        <v>4420</v>
      </c>
      <c r="H252" s="69">
        <v>44707</v>
      </c>
      <c r="I252" s="88">
        <v>0.45</v>
      </c>
      <c r="J252" s="58">
        <v>1705527.51</v>
      </c>
    </row>
    <row r="253" spans="1:10" ht="15">
      <c r="A253" s="58" t="s">
        <v>746</v>
      </c>
      <c r="B253" s="58" t="s">
        <v>787</v>
      </c>
      <c r="C253" s="58" t="s">
        <v>809</v>
      </c>
      <c r="D253" s="58" t="s">
        <v>789</v>
      </c>
      <c r="E253" s="58">
        <v>4120807</v>
      </c>
      <c r="F253" s="58">
        <v>61</v>
      </c>
      <c r="G253" s="58">
        <v>121998</v>
      </c>
      <c r="H253" s="69">
        <v>44819</v>
      </c>
      <c r="I253" s="88">
        <v>7.0000000000000007E-2</v>
      </c>
      <c r="J253" s="58">
        <v>2305815.35</v>
      </c>
    </row>
    <row r="254" spans="1:10" ht="15">
      <c r="A254" s="58" t="s">
        <v>742</v>
      </c>
      <c r="B254" s="58" t="s">
        <v>804</v>
      </c>
      <c r="C254" s="58" t="s">
        <v>799</v>
      </c>
      <c r="D254" s="58" t="s">
        <v>811</v>
      </c>
      <c r="E254" s="58">
        <v>289940</v>
      </c>
      <c r="F254" s="58">
        <v>74</v>
      </c>
      <c r="G254" s="58">
        <v>423539</v>
      </c>
      <c r="H254" s="69">
        <v>45585</v>
      </c>
      <c r="I254" s="88">
        <v>0.18</v>
      </c>
      <c r="J254" s="58">
        <v>3668011.2</v>
      </c>
    </row>
    <row r="255" spans="1:10" ht="15">
      <c r="A255" s="58" t="s">
        <v>742</v>
      </c>
      <c r="B255" s="58" t="s">
        <v>808</v>
      </c>
      <c r="C255" s="58" t="s">
        <v>799</v>
      </c>
      <c r="D255" s="58" t="s">
        <v>811</v>
      </c>
      <c r="E255" s="58">
        <v>2532811</v>
      </c>
      <c r="F255" s="58">
        <v>36</v>
      </c>
      <c r="G255" s="58">
        <v>430072</v>
      </c>
      <c r="H255" s="69">
        <v>44906</v>
      </c>
      <c r="I255" s="88">
        <v>0.1</v>
      </c>
      <c r="J255" s="58">
        <v>888052.41</v>
      </c>
    </row>
    <row r="256" spans="1:10" ht="15">
      <c r="A256" s="58" t="s">
        <v>740</v>
      </c>
      <c r="B256" s="58" t="s">
        <v>802</v>
      </c>
      <c r="C256" s="58" t="s">
        <v>809</v>
      </c>
      <c r="D256" s="58" t="s">
        <v>810</v>
      </c>
      <c r="E256" s="58">
        <v>2861520</v>
      </c>
      <c r="F256" s="58">
        <v>32</v>
      </c>
      <c r="G256" s="58">
        <v>314353</v>
      </c>
      <c r="H256" s="69">
        <v>45027</v>
      </c>
      <c r="I256" s="88">
        <v>0.36</v>
      </c>
      <c r="J256" s="58">
        <v>4295789.04</v>
      </c>
    </row>
    <row r="257" spans="1:10" ht="15">
      <c r="A257" s="58" t="s">
        <v>742</v>
      </c>
      <c r="B257" s="58" t="s">
        <v>809</v>
      </c>
      <c r="C257" s="58" t="s">
        <v>809</v>
      </c>
      <c r="D257" s="58" t="s">
        <v>805</v>
      </c>
      <c r="E257" s="58">
        <v>2865648</v>
      </c>
      <c r="F257" s="58">
        <v>24</v>
      </c>
      <c r="G257" s="58">
        <v>176041</v>
      </c>
      <c r="H257" s="69">
        <v>44787</v>
      </c>
      <c r="I257" s="88">
        <v>0.18</v>
      </c>
      <c r="J257" s="58">
        <v>3086756.19</v>
      </c>
    </row>
    <row r="258" spans="1:10" ht="15">
      <c r="A258" s="58" t="s">
        <v>741</v>
      </c>
      <c r="B258" s="58" t="s">
        <v>808</v>
      </c>
      <c r="C258" s="58" t="s">
        <v>788</v>
      </c>
      <c r="D258" s="58" t="s">
        <v>800</v>
      </c>
      <c r="E258" s="58">
        <v>4375081</v>
      </c>
      <c r="F258" s="58">
        <v>43</v>
      </c>
      <c r="G258" s="58">
        <v>1416</v>
      </c>
      <c r="H258" s="69">
        <v>44764</v>
      </c>
      <c r="I258" s="88">
        <v>0.49</v>
      </c>
      <c r="J258" s="58">
        <v>2940991.29</v>
      </c>
    </row>
    <row r="259" spans="1:10" ht="15">
      <c r="A259" s="58" t="s">
        <v>742</v>
      </c>
      <c r="B259" s="58" t="s">
        <v>787</v>
      </c>
      <c r="C259" s="58" t="s">
        <v>798</v>
      </c>
      <c r="D259" s="58" t="s">
        <v>796</v>
      </c>
      <c r="E259" s="58">
        <v>3146380</v>
      </c>
      <c r="F259" s="58">
        <v>91</v>
      </c>
      <c r="G259" s="58">
        <v>203259</v>
      </c>
      <c r="H259" s="69">
        <v>45095</v>
      </c>
      <c r="I259" s="88">
        <v>0.24</v>
      </c>
      <c r="J259" s="58">
        <v>2308556.67</v>
      </c>
    </row>
    <row r="260" spans="1:10" ht="15">
      <c r="A260" s="58" t="s">
        <v>748</v>
      </c>
      <c r="B260" s="58" t="s">
        <v>809</v>
      </c>
      <c r="C260" s="58" t="s">
        <v>798</v>
      </c>
      <c r="D260" s="58" t="s">
        <v>813</v>
      </c>
      <c r="E260" s="58">
        <v>2177769</v>
      </c>
      <c r="F260" s="58">
        <v>78</v>
      </c>
      <c r="G260" s="58">
        <v>226686</v>
      </c>
      <c r="H260" s="69">
        <v>45060</v>
      </c>
      <c r="I260" s="88">
        <v>0.49</v>
      </c>
      <c r="J260" s="58">
        <v>900541.48</v>
      </c>
    </row>
    <row r="261" spans="1:10" ht="15">
      <c r="A261" s="58" t="s">
        <v>748</v>
      </c>
      <c r="B261" s="58" t="s">
        <v>794</v>
      </c>
      <c r="C261" s="58" t="s">
        <v>788</v>
      </c>
      <c r="D261" s="58" t="s">
        <v>805</v>
      </c>
      <c r="E261" s="58">
        <v>3645192</v>
      </c>
      <c r="F261" s="58">
        <v>94</v>
      </c>
      <c r="G261" s="58">
        <v>291961</v>
      </c>
      <c r="H261" s="69">
        <v>45248</v>
      </c>
      <c r="I261" s="88">
        <v>0.28999999999999998</v>
      </c>
      <c r="J261" s="58">
        <v>365390.64</v>
      </c>
    </row>
    <row r="262" spans="1:10" ht="15">
      <c r="A262" s="58" t="s">
        <v>746</v>
      </c>
      <c r="B262" s="58" t="s">
        <v>802</v>
      </c>
      <c r="C262" s="58" t="s">
        <v>788</v>
      </c>
      <c r="D262" s="58" t="s">
        <v>813</v>
      </c>
      <c r="E262" s="58">
        <v>509549</v>
      </c>
      <c r="F262" s="58">
        <v>52</v>
      </c>
      <c r="G262" s="58">
        <v>188933</v>
      </c>
      <c r="H262" s="69">
        <v>45371</v>
      </c>
      <c r="I262" s="88">
        <v>0.17</v>
      </c>
      <c r="J262" s="58">
        <v>2150200.5</v>
      </c>
    </row>
    <row r="263" spans="1:10" ht="15">
      <c r="A263" s="58" t="s">
        <v>743</v>
      </c>
      <c r="B263" s="58" t="s">
        <v>809</v>
      </c>
      <c r="C263" s="58" t="s">
        <v>788</v>
      </c>
      <c r="D263" s="58" t="s">
        <v>806</v>
      </c>
      <c r="E263" s="58">
        <v>4231683</v>
      </c>
      <c r="F263" s="58">
        <v>26</v>
      </c>
      <c r="G263" s="58">
        <v>463779</v>
      </c>
      <c r="H263" s="69">
        <v>44705</v>
      </c>
      <c r="I263" s="88">
        <v>0.09</v>
      </c>
      <c r="J263" s="58">
        <v>265549.44</v>
      </c>
    </row>
    <row r="264" spans="1:10" ht="15">
      <c r="A264" s="58" t="s">
        <v>749</v>
      </c>
      <c r="B264" s="58" t="s">
        <v>787</v>
      </c>
      <c r="C264" s="58" t="s">
        <v>788</v>
      </c>
      <c r="D264" s="58" t="s">
        <v>800</v>
      </c>
      <c r="E264" s="58">
        <v>4173099</v>
      </c>
      <c r="F264" s="58">
        <v>34</v>
      </c>
      <c r="G264" s="58">
        <v>98146</v>
      </c>
      <c r="H264" s="69">
        <v>45160</v>
      </c>
      <c r="I264" s="88">
        <v>0.15</v>
      </c>
      <c r="J264" s="58">
        <v>4437233.96</v>
      </c>
    </row>
    <row r="265" spans="1:10" ht="15">
      <c r="A265" s="58" t="s">
        <v>742</v>
      </c>
      <c r="B265" s="58" t="s">
        <v>808</v>
      </c>
      <c r="C265" s="58" t="s">
        <v>799</v>
      </c>
      <c r="D265" s="58" t="s">
        <v>810</v>
      </c>
      <c r="E265" s="58">
        <v>4666181</v>
      </c>
      <c r="F265" s="58">
        <v>29</v>
      </c>
      <c r="G265" s="58">
        <v>475565</v>
      </c>
      <c r="H265" s="69">
        <v>44646</v>
      </c>
      <c r="I265" s="88">
        <v>0.35</v>
      </c>
      <c r="J265" s="58">
        <v>2283454.9500000002</v>
      </c>
    </row>
    <row r="266" spans="1:10" ht="15">
      <c r="A266" s="58" t="s">
        <v>741</v>
      </c>
      <c r="B266" s="58" t="s">
        <v>794</v>
      </c>
      <c r="C266" s="58" t="s">
        <v>795</v>
      </c>
      <c r="D266" s="58" t="s">
        <v>791</v>
      </c>
      <c r="E266" s="58">
        <v>3123971</v>
      </c>
      <c r="F266" s="58">
        <v>67</v>
      </c>
      <c r="G266" s="58">
        <v>94121</v>
      </c>
      <c r="H266" s="69">
        <v>45602</v>
      </c>
      <c r="I266" s="88">
        <v>0.3</v>
      </c>
      <c r="J266" s="58">
        <v>2776439.55</v>
      </c>
    </row>
    <row r="267" spans="1:10" ht="15">
      <c r="A267" s="58" t="s">
        <v>747</v>
      </c>
      <c r="B267" s="58" t="s">
        <v>802</v>
      </c>
      <c r="C267" s="58" t="s">
        <v>798</v>
      </c>
      <c r="D267" s="58" t="s">
        <v>811</v>
      </c>
      <c r="E267" s="58">
        <v>610332</v>
      </c>
      <c r="F267" s="58">
        <v>48</v>
      </c>
      <c r="G267" s="58">
        <v>119230</v>
      </c>
      <c r="H267" s="69">
        <v>45078</v>
      </c>
      <c r="I267" s="88">
        <v>0.04</v>
      </c>
      <c r="J267" s="58">
        <v>2875043.56</v>
      </c>
    </row>
    <row r="268" spans="1:10" ht="15">
      <c r="A268" s="58" t="s">
        <v>744</v>
      </c>
      <c r="B268" s="58" t="s">
        <v>809</v>
      </c>
      <c r="C268" s="58" t="s">
        <v>799</v>
      </c>
      <c r="D268" s="58" t="s">
        <v>813</v>
      </c>
      <c r="E268" s="58">
        <v>289770</v>
      </c>
      <c r="F268" s="58">
        <v>43</v>
      </c>
      <c r="G268" s="58">
        <v>20701</v>
      </c>
      <c r="H268" s="69">
        <v>44564</v>
      </c>
      <c r="I268" s="88">
        <v>0.47</v>
      </c>
      <c r="J268" s="58">
        <v>2274948.52</v>
      </c>
    </row>
    <row r="269" spans="1:10" ht="15">
      <c r="A269" s="58" t="s">
        <v>743</v>
      </c>
      <c r="B269" s="58" t="s">
        <v>794</v>
      </c>
      <c r="C269" s="58" t="s">
        <v>809</v>
      </c>
      <c r="D269" s="58" t="s">
        <v>791</v>
      </c>
      <c r="E269" s="58">
        <v>468595</v>
      </c>
      <c r="F269" s="58">
        <v>6</v>
      </c>
      <c r="G269" s="58">
        <v>373529</v>
      </c>
      <c r="H269" s="69">
        <v>45357</v>
      </c>
      <c r="I269" s="88">
        <v>0.46</v>
      </c>
      <c r="J269" s="58">
        <v>1222708.3899999999</v>
      </c>
    </row>
    <row r="270" spans="1:10" ht="15">
      <c r="A270" s="58" t="s">
        <v>745</v>
      </c>
      <c r="B270" s="58" t="s">
        <v>804</v>
      </c>
      <c r="C270" s="58" t="s">
        <v>807</v>
      </c>
      <c r="D270" s="58" t="s">
        <v>801</v>
      </c>
      <c r="E270" s="58">
        <v>1844929</v>
      </c>
      <c r="F270" s="58">
        <v>1</v>
      </c>
      <c r="G270" s="58">
        <v>220252</v>
      </c>
      <c r="H270" s="69">
        <v>45496</v>
      </c>
      <c r="I270" s="88">
        <v>0.02</v>
      </c>
      <c r="J270" s="58">
        <v>865793.68</v>
      </c>
    </row>
    <row r="271" spans="1:10" ht="15">
      <c r="A271" s="58" t="s">
        <v>744</v>
      </c>
      <c r="B271" s="58" t="s">
        <v>814</v>
      </c>
      <c r="C271" s="58" t="s">
        <v>809</v>
      </c>
      <c r="D271" s="58" t="s">
        <v>803</v>
      </c>
      <c r="E271" s="58">
        <v>4494492</v>
      </c>
      <c r="F271" s="58">
        <v>24</v>
      </c>
      <c r="G271" s="58">
        <v>219299</v>
      </c>
      <c r="H271" s="69">
        <v>44874</v>
      </c>
      <c r="I271" s="88">
        <v>0.42</v>
      </c>
      <c r="J271" s="58">
        <v>1686567.12</v>
      </c>
    </row>
    <row r="272" spans="1:10" ht="15">
      <c r="A272" s="58" t="s">
        <v>747</v>
      </c>
      <c r="B272" s="58" t="s">
        <v>808</v>
      </c>
      <c r="C272" s="58" t="s">
        <v>809</v>
      </c>
      <c r="D272" s="58" t="s">
        <v>811</v>
      </c>
      <c r="E272" s="58">
        <v>4513946</v>
      </c>
      <c r="F272" s="58">
        <v>73</v>
      </c>
      <c r="G272" s="58">
        <v>172653</v>
      </c>
      <c r="H272" s="69">
        <v>44885</v>
      </c>
      <c r="I272" s="88">
        <v>0.22</v>
      </c>
      <c r="J272" s="58">
        <v>1698166.8</v>
      </c>
    </row>
    <row r="273" spans="1:10" ht="15">
      <c r="A273" s="58" t="s">
        <v>742</v>
      </c>
      <c r="B273" s="58" t="s">
        <v>794</v>
      </c>
      <c r="C273" s="58" t="s">
        <v>795</v>
      </c>
      <c r="D273" s="58" t="s">
        <v>813</v>
      </c>
      <c r="E273" s="58">
        <v>3946631</v>
      </c>
      <c r="F273" s="58">
        <v>88</v>
      </c>
      <c r="G273" s="58">
        <v>199564</v>
      </c>
      <c r="H273" s="69">
        <v>45455</v>
      </c>
      <c r="I273" s="88">
        <v>0.16</v>
      </c>
      <c r="J273" s="58">
        <v>2258356.14</v>
      </c>
    </row>
    <row r="274" spans="1:10" ht="15">
      <c r="A274" s="58" t="s">
        <v>747</v>
      </c>
      <c r="B274" s="58" t="s">
        <v>787</v>
      </c>
      <c r="C274" s="58" t="s">
        <v>798</v>
      </c>
      <c r="D274" s="58" t="s">
        <v>789</v>
      </c>
      <c r="E274" s="58">
        <v>2744092</v>
      </c>
      <c r="F274" s="58">
        <v>66</v>
      </c>
      <c r="G274" s="58">
        <v>119694</v>
      </c>
      <c r="H274" s="69">
        <v>45521</v>
      </c>
      <c r="I274" s="88">
        <v>0.08</v>
      </c>
      <c r="J274" s="58">
        <v>981595.44</v>
      </c>
    </row>
    <row r="275" spans="1:10" ht="15">
      <c r="A275" s="58" t="s">
        <v>748</v>
      </c>
      <c r="B275" s="58" t="s">
        <v>794</v>
      </c>
      <c r="C275" s="58" t="s">
        <v>798</v>
      </c>
      <c r="D275" s="58" t="s">
        <v>803</v>
      </c>
      <c r="E275" s="58">
        <v>3508281</v>
      </c>
      <c r="F275" s="58">
        <v>57</v>
      </c>
      <c r="G275" s="58">
        <v>393160</v>
      </c>
      <c r="H275" s="69">
        <v>44850</v>
      </c>
      <c r="I275" s="88">
        <v>0.28999999999999998</v>
      </c>
      <c r="J275" s="58">
        <v>1974462.42</v>
      </c>
    </row>
    <row r="276" spans="1:10" ht="15">
      <c r="A276" s="58" t="s">
        <v>743</v>
      </c>
      <c r="B276" s="58" t="s">
        <v>790</v>
      </c>
      <c r="C276" s="58" t="s">
        <v>795</v>
      </c>
      <c r="D276" s="58" t="s">
        <v>805</v>
      </c>
      <c r="E276" s="58">
        <v>380164</v>
      </c>
      <c r="F276" s="58">
        <v>65</v>
      </c>
      <c r="G276" s="58">
        <v>190716</v>
      </c>
      <c r="H276" s="69">
        <v>44679</v>
      </c>
      <c r="I276" s="88">
        <v>0.25</v>
      </c>
      <c r="J276" s="58">
        <v>3254309.41</v>
      </c>
    </row>
    <row r="277" spans="1:10" ht="15">
      <c r="A277" s="58" t="s">
        <v>743</v>
      </c>
      <c r="B277" s="58" t="s">
        <v>787</v>
      </c>
      <c r="C277" s="58" t="s">
        <v>799</v>
      </c>
      <c r="D277" s="58" t="s">
        <v>815</v>
      </c>
      <c r="E277" s="58">
        <v>3819331</v>
      </c>
      <c r="F277" s="58">
        <v>76</v>
      </c>
      <c r="G277" s="58">
        <v>85370</v>
      </c>
      <c r="H277" s="69">
        <v>45020</v>
      </c>
      <c r="I277" s="88">
        <v>0.21</v>
      </c>
      <c r="J277" s="58">
        <v>1822311.56</v>
      </c>
    </row>
    <row r="278" spans="1:10" ht="15">
      <c r="A278" s="58" t="s">
        <v>741</v>
      </c>
      <c r="B278" s="58" t="s">
        <v>797</v>
      </c>
      <c r="C278" s="58" t="s">
        <v>793</v>
      </c>
      <c r="D278" s="58" t="s">
        <v>805</v>
      </c>
      <c r="E278" s="58">
        <v>4251476</v>
      </c>
      <c r="F278" s="58">
        <v>20</v>
      </c>
      <c r="G278" s="58">
        <v>278053</v>
      </c>
      <c r="H278" s="69">
        <v>45418</v>
      </c>
      <c r="I278" s="88">
        <v>0.1</v>
      </c>
      <c r="J278" s="58">
        <v>296633.03999999998</v>
      </c>
    </row>
    <row r="279" spans="1:10" ht="15">
      <c r="A279" s="58" t="s">
        <v>742</v>
      </c>
      <c r="B279" s="58" t="s">
        <v>792</v>
      </c>
      <c r="C279" s="58" t="s">
        <v>788</v>
      </c>
      <c r="D279" s="58" t="s">
        <v>801</v>
      </c>
      <c r="E279" s="58">
        <v>3842792</v>
      </c>
      <c r="F279" s="58">
        <v>83</v>
      </c>
      <c r="G279" s="58">
        <v>225151</v>
      </c>
      <c r="H279" s="69">
        <v>45515</v>
      </c>
      <c r="I279" s="88">
        <v>0.09</v>
      </c>
      <c r="J279" s="58">
        <v>1310161.06</v>
      </c>
    </row>
    <row r="280" spans="1:10" ht="15">
      <c r="A280" s="58" t="s">
        <v>743</v>
      </c>
      <c r="B280" s="58" t="s">
        <v>794</v>
      </c>
      <c r="C280" s="58" t="s">
        <v>795</v>
      </c>
      <c r="D280" s="58" t="s">
        <v>791</v>
      </c>
      <c r="E280" s="58">
        <v>3975328</v>
      </c>
      <c r="F280" s="58">
        <v>6</v>
      </c>
      <c r="G280" s="58">
        <v>415444</v>
      </c>
      <c r="H280" s="69">
        <v>44679</v>
      </c>
      <c r="I280" s="88">
        <v>0.25</v>
      </c>
      <c r="J280" s="58">
        <v>2601636.75</v>
      </c>
    </row>
    <row r="281" spans="1:10" ht="15">
      <c r="A281" s="58" t="s">
        <v>746</v>
      </c>
      <c r="B281" s="58" t="s">
        <v>787</v>
      </c>
      <c r="C281" s="58" t="s">
        <v>799</v>
      </c>
      <c r="D281" s="58" t="s">
        <v>800</v>
      </c>
      <c r="E281" s="58">
        <v>34676</v>
      </c>
      <c r="F281" s="58">
        <v>49</v>
      </c>
      <c r="G281" s="58">
        <v>221769</v>
      </c>
      <c r="H281" s="69">
        <v>44796</v>
      </c>
      <c r="I281" s="88">
        <v>0.27</v>
      </c>
      <c r="J281" s="58">
        <v>1462434.65</v>
      </c>
    </row>
    <row r="282" spans="1:10" ht="15">
      <c r="A282" s="58" t="s">
        <v>744</v>
      </c>
      <c r="B282" s="58" t="s">
        <v>790</v>
      </c>
      <c r="C282" s="58" t="s">
        <v>793</v>
      </c>
      <c r="D282" s="58" t="s">
        <v>789</v>
      </c>
      <c r="E282" s="58">
        <v>3337017</v>
      </c>
      <c r="F282" s="58">
        <v>31</v>
      </c>
      <c r="G282" s="58">
        <v>55695</v>
      </c>
      <c r="H282" s="69">
        <v>45349</v>
      </c>
      <c r="I282" s="88">
        <v>0.06</v>
      </c>
      <c r="J282" s="58">
        <v>288819</v>
      </c>
    </row>
    <row r="283" spans="1:10" ht="15">
      <c r="A283" s="58" t="s">
        <v>748</v>
      </c>
      <c r="B283" s="58" t="s">
        <v>804</v>
      </c>
      <c r="C283" s="58" t="s">
        <v>793</v>
      </c>
      <c r="D283" s="58" t="s">
        <v>789</v>
      </c>
      <c r="E283" s="58">
        <v>837902</v>
      </c>
      <c r="F283" s="58">
        <v>75</v>
      </c>
      <c r="G283" s="58">
        <v>180616</v>
      </c>
      <c r="H283" s="69">
        <v>44787</v>
      </c>
      <c r="I283" s="88">
        <v>0.38</v>
      </c>
      <c r="J283" s="58">
        <v>2946354.32</v>
      </c>
    </row>
    <row r="284" spans="1:10" ht="15">
      <c r="A284" s="58" t="s">
        <v>740</v>
      </c>
      <c r="B284" s="58" t="s">
        <v>814</v>
      </c>
      <c r="C284" s="58" t="s">
        <v>798</v>
      </c>
      <c r="D284" s="58" t="s">
        <v>800</v>
      </c>
      <c r="E284" s="58">
        <v>566665</v>
      </c>
      <c r="F284" s="58">
        <v>66</v>
      </c>
      <c r="G284" s="58">
        <v>167424</v>
      </c>
      <c r="H284" s="69">
        <v>45561</v>
      </c>
      <c r="I284" s="88">
        <v>0.33</v>
      </c>
      <c r="J284" s="58">
        <v>3518380.15</v>
      </c>
    </row>
    <row r="285" spans="1:10" ht="15">
      <c r="A285" s="58" t="s">
        <v>742</v>
      </c>
      <c r="B285" s="58" t="s">
        <v>797</v>
      </c>
      <c r="C285" s="58" t="s">
        <v>793</v>
      </c>
      <c r="D285" s="58" t="s">
        <v>803</v>
      </c>
      <c r="E285" s="58">
        <v>3444030</v>
      </c>
      <c r="F285" s="58">
        <v>16</v>
      </c>
      <c r="G285" s="58">
        <v>57417</v>
      </c>
      <c r="H285" s="69">
        <v>44642</v>
      </c>
      <c r="I285" s="88">
        <v>0.19</v>
      </c>
      <c r="J285" s="58">
        <v>2509740.08</v>
      </c>
    </row>
    <row r="286" spans="1:10" ht="15">
      <c r="A286" s="58" t="s">
        <v>748</v>
      </c>
      <c r="B286" s="58" t="s">
        <v>804</v>
      </c>
      <c r="C286" s="58" t="s">
        <v>793</v>
      </c>
      <c r="D286" s="58" t="s">
        <v>813</v>
      </c>
      <c r="E286" s="58">
        <v>691754</v>
      </c>
      <c r="F286" s="58">
        <v>30</v>
      </c>
      <c r="G286" s="58">
        <v>195365</v>
      </c>
      <c r="H286" s="69">
        <v>45205</v>
      </c>
      <c r="I286" s="88">
        <v>0.32</v>
      </c>
      <c r="J286" s="58">
        <v>2181709.3199999998</v>
      </c>
    </row>
    <row r="287" spans="1:10" ht="15">
      <c r="A287" s="58" t="s">
        <v>742</v>
      </c>
      <c r="B287" s="58" t="s">
        <v>797</v>
      </c>
      <c r="C287" s="58" t="s">
        <v>793</v>
      </c>
      <c r="D287" s="58" t="s">
        <v>810</v>
      </c>
      <c r="E287" s="58">
        <v>4398805</v>
      </c>
      <c r="F287" s="58">
        <v>41</v>
      </c>
      <c r="G287" s="58">
        <v>345357</v>
      </c>
      <c r="H287" s="69">
        <v>45368</v>
      </c>
      <c r="I287" s="88">
        <v>0.41</v>
      </c>
      <c r="J287" s="58">
        <v>1859891.86</v>
      </c>
    </row>
    <row r="288" spans="1:10" ht="15">
      <c r="A288" s="58" t="s">
        <v>749</v>
      </c>
      <c r="B288" s="58" t="s">
        <v>790</v>
      </c>
      <c r="C288" s="58" t="s">
        <v>799</v>
      </c>
      <c r="D288" s="58" t="s">
        <v>815</v>
      </c>
      <c r="E288" s="58">
        <v>1039382</v>
      </c>
      <c r="F288" s="58">
        <v>39</v>
      </c>
      <c r="G288" s="58">
        <v>253767</v>
      </c>
      <c r="H288" s="69">
        <v>45037</v>
      </c>
      <c r="I288" s="88">
        <v>7.0000000000000007E-2</v>
      </c>
      <c r="J288" s="58">
        <v>1574354.66</v>
      </c>
    </row>
    <row r="289" spans="1:10" ht="15">
      <c r="A289" s="58" t="s">
        <v>745</v>
      </c>
      <c r="B289" s="58" t="s">
        <v>790</v>
      </c>
      <c r="C289" s="58" t="s">
        <v>799</v>
      </c>
      <c r="D289" s="58" t="s">
        <v>801</v>
      </c>
      <c r="E289" s="58">
        <v>1066889</v>
      </c>
      <c r="F289" s="58">
        <v>91</v>
      </c>
      <c r="G289" s="58">
        <v>444319</v>
      </c>
      <c r="H289" s="69">
        <v>45216</v>
      </c>
      <c r="I289" s="88">
        <v>0.24</v>
      </c>
      <c r="J289" s="58">
        <v>1818785.97</v>
      </c>
    </row>
    <row r="290" spans="1:10" ht="15">
      <c r="A290" s="58" t="s">
        <v>740</v>
      </c>
      <c r="B290" s="58" t="s">
        <v>787</v>
      </c>
      <c r="C290" s="58" t="s">
        <v>807</v>
      </c>
      <c r="D290" s="58" t="s">
        <v>791</v>
      </c>
      <c r="E290" s="58">
        <v>1461933</v>
      </c>
      <c r="F290" s="58">
        <v>14</v>
      </c>
      <c r="G290" s="58">
        <v>346800</v>
      </c>
      <c r="H290" s="69">
        <v>44585</v>
      </c>
      <c r="I290" s="88">
        <v>0.25</v>
      </c>
      <c r="J290" s="58">
        <v>338145.22</v>
      </c>
    </row>
    <row r="291" spans="1:10" ht="15">
      <c r="A291" s="58" t="s">
        <v>749</v>
      </c>
      <c r="B291" s="58" t="s">
        <v>809</v>
      </c>
      <c r="C291" s="58" t="s">
        <v>795</v>
      </c>
      <c r="D291" s="58" t="s">
        <v>813</v>
      </c>
      <c r="E291" s="58">
        <v>3688365</v>
      </c>
      <c r="F291" s="58">
        <v>19</v>
      </c>
      <c r="G291" s="58">
        <v>274549</v>
      </c>
      <c r="H291" s="69">
        <v>45026</v>
      </c>
      <c r="I291" s="88">
        <v>0.22</v>
      </c>
      <c r="J291" s="58">
        <v>2283783.36</v>
      </c>
    </row>
    <row r="292" spans="1:10" ht="15">
      <c r="A292" s="58" t="s">
        <v>744</v>
      </c>
      <c r="B292" s="58" t="s">
        <v>792</v>
      </c>
      <c r="C292" s="58" t="s">
        <v>809</v>
      </c>
      <c r="D292" s="58" t="s">
        <v>800</v>
      </c>
      <c r="E292" s="58">
        <v>3004584</v>
      </c>
      <c r="F292" s="58">
        <v>96</v>
      </c>
      <c r="G292" s="58">
        <v>75089</v>
      </c>
      <c r="H292" s="69">
        <v>45189</v>
      </c>
      <c r="I292" s="88">
        <v>0.5</v>
      </c>
      <c r="J292" s="58">
        <v>3332859.66</v>
      </c>
    </row>
    <row r="293" spans="1:10" ht="15">
      <c r="A293" s="58" t="s">
        <v>748</v>
      </c>
      <c r="B293" s="58" t="s">
        <v>804</v>
      </c>
      <c r="C293" s="58" t="s">
        <v>793</v>
      </c>
      <c r="D293" s="58" t="s">
        <v>791</v>
      </c>
      <c r="E293" s="58">
        <v>4165266</v>
      </c>
      <c r="F293" s="58">
        <v>71</v>
      </c>
      <c r="G293" s="58">
        <v>95098</v>
      </c>
      <c r="H293" s="69">
        <v>45471</v>
      </c>
      <c r="I293" s="88">
        <v>0.48</v>
      </c>
      <c r="J293" s="58">
        <v>1679644.08</v>
      </c>
    </row>
    <row r="294" spans="1:10" ht="15">
      <c r="A294" s="58" t="s">
        <v>742</v>
      </c>
      <c r="B294" s="58" t="s">
        <v>797</v>
      </c>
      <c r="C294" s="58" t="s">
        <v>788</v>
      </c>
      <c r="D294" s="58" t="s">
        <v>800</v>
      </c>
      <c r="E294" s="58">
        <v>4378213</v>
      </c>
      <c r="F294" s="58">
        <v>5</v>
      </c>
      <c r="G294" s="58">
        <v>71352</v>
      </c>
      <c r="H294" s="69">
        <v>45041</v>
      </c>
      <c r="I294" s="88">
        <v>0.43</v>
      </c>
      <c r="J294" s="58">
        <v>211259.3</v>
      </c>
    </row>
    <row r="295" spans="1:10" ht="15">
      <c r="A295" s="58" t="s">
        <v>740</v>
      </c>
      <c r="B295" s="58" t="s">
        <v>792</v>
      </c>
      <c r="C295" s="58" t="s">
        <v>809</v>
      </c>
      <c r="D295" s="58" t="s">
        <v>806</v>
      </c>
      <c r="E295" s="58">
        <v>4945471</v>
      </c>
      <c r="F295" s="58">
        <v>25</v>
      </c>
      <c r="G295" s="58">
        <v>72495</v>
      </c>
      <c r="H295" s="69">
        <v>45271</v>
      </c>
      <c r="I295" s="88">
        <v>0.5</v>
      </c>
      <c r="J295" s="58">
        <v>429303.84</v>
      </c>
    </row>
    <row r="296" spans="1:10" ht="15">
      <c r="A296" s="58" t="s">
        <v>742</v>
      </c>
      <c r="B296" s="58" t="s">
        <v>802</v>
      </c>
      <c r="C296" s="58" t="s">
        <v>807</v>
      </c>
      <c r="D296" s="58" t="s">
        <v>801</v>
      </c>
      <c r="E296" s="58">
        <v>4420627</v>
      </c>
      <c r="F296" s="58">
        <v>88</v>
      </c>
      <c r="G296" s="58">
        <v>192088</v>
      </c>
      <c r="H296" s="69">
        <v>44936</v>
      </c>
      <c r="I296" s="88">
        <v>0.43</v>
      </c>
      <c r="J296" s="58">
        <v>207226.8</v>
      </c>
    </row>
    <row r="297" spans="1:10" ht="15">
      <c r="A297" s="58" t="s">
        <v>748</v>
      </c>
      <c r="B297" s="58" t="s">
        <v>804</v>
      </c>
      <c r="C297" s="58" t="s">
        <v>798</v>
      </c>
      <c r="D297" s="58" t="s">
        <v>812</v>
      </c>
      <c r="E297" s="58">
        <v>1369742</v>
      </c>
      <c r="F297" s="58">
        <v>68</v>
      </c>
      <c r="G297" s="58">
        <v>392062</v>
      </c>
      <c r="H297" s="69">
        <v>45648</v>
      </c>
      <c r="I297" s="88">
        <v>0.28000000000000003</v>
      </c>
      <c r="J297" s="58">
        <v>374074.15</v>
      </c>
    </row>
    <row r="298" spans="1:10" ht="15">
      <c r="A298" s="58" t="s">
        <v>748</v>
      </c>
      <c r="B298" s="58" t="s">
        <v>792</v>
      </c>
      <c r="C298" s="58" t="s">
        <v>793</v>
      </c>
      <c r="D298" s="58" t="s">
        <v>791</v>
      </c>
      <c r="E298" s="58">
        <v>2549112</v>
      </c>
      <c r="F298" s="58">
        <v>62</v>
      </c>
      <c r="G298" s="58">
        <v>258622</v>
      </c>
      <c r="H298" s="69">
        <v>45091</v>
      </c>
      <c r="I298" s="88">
        <v>0.46</v>
      </c>
      <c r="J298" s="58">
        <v>1834888.25</v>
      </c>
    </row>
    <row r="299" spans="1:10" ht="15">
      <c r="A299" s="58" t="s">
        <v>748</v>
      </c>
      <c r="B299" s="58" t="s">
        <v>790</v>
      </c>
      <c r="C299" s="58" t="s">
        <v>798</v>
      </c>
      <c r="D299" s="58" t="s">
        <v>803</v>
      </c>
      <c r="E299" s="58">
        <v>3055534</v>
      </c>
      <c r="F299" s="58">
        <v>76</v>
      </c>
      <c r="G299" s="58">
        <v>388398</v>
      </c>
      <c r="H299" s="69">
        <v>44672</v>
      </c>
      <c r="I299" s="88">
        <v>0.37</v>
      </c>
      <c r="J299" s="58">
        <v>2436389.7599999998</v>
      </c>
    </row>
    <row r="300" spans="1:10" ht="15">
      <c r="A300" s="58" t="s">
        <v>743</v>
      </c>
      <c r="B300" s="58" t="s">
        <v>804</v>
      </c>
      <c r="C300" s="58" t="s">
        <v>795</v>
      </c>
      <c r="D300" s="58" t="s">
        <v>815</v>
      </c>
      <c r="E300" s="58">
        <v>4773871</v>
      </c>
      <c r="F300" s="58">
        <v>47</v>
      </c>
      <c r="G300" s="58">
        <v>365153</v>
      </c>
      <c r="H300" s="69">
        <v>44585</v>
      </c>
      <c r="I300" s="88">
        <v>0.34</v>
      </c>
      <c r="J300" s="58">
        <v>2039578.58</v>
      </c>
    </row>
    <row r="301" spans="1:10" ht="15">
      <c r="A301" s="58" t="s">
        <v>746</v>
      </c>
      <c r="B301" s="58" t="s">
        <v>792</v>
      </c>
      <c r="C301" s="58" t="s">
        <v>799</v>
      </c>
      <c r="D301" s="58" t="s">
        <v>789</v>
      </c>
      <c r="E301" s="58">
        <v>3186929</v>
      </c>
      <c r="F301" s="58">
        <v>19</v>
      </c>
      <c r="G301" s="58">
        <v>440356</v>
      </c>
      <c r="H301" s="69">
        <v>45024</v>
      </c>
      <c r="I301" s="88">
        <v>0.04</v>
      </c>
      <c r="J301" s="58">
        <v>872425.08</v>
      </c>
    </row>
    <row r="302" spans="1:10" ht="15">
      <c r="A302" s="58" t="s">
        <v>748</v>
      </c>
      <c r="B302" s="58" t="s">
        <v>809</v>
      </c>
      <c r="C302" s="58" t="s">
        <v>793</v>
      </c>
      <c r="D302" s="58" t="s">
        <v>789</v>
      </c>
      <c r="E302" s="58">
        <v>257827</v>
      </c>
      <c r="F302" s="58">
        <v>80</v>
      </c>
      <c r="G302" s="58">
        <v>239525</v>
      </c>
      <c r="H302" s="69">
        <v>44635</v>
      </c>
      <c r="I302" s="88">
        <v>0.04</v>
      </c>
      <c r="J302" s="58">
        <v>1374715.71</v>
      </c>
    </row>
    <row r="303" spans="1:10" ht="15">
      <c r="A303" s="58" t="s">
        <v>740</v>
      </c>
      <c r="B303" s="58" t="s">
        <v>790</v>
      </c>
      <c r="C303" s="58" t="s">
        <v>798</v>
      </c>
      <c r="D303" s="58" t="s">
        <v>801</v>
      </c>
      <c r="E303" s="58">
        <v>2453641</v>
      </c>
      <c r="F303" s="58">
        <v>45</v>
      </c>
      <c r="G303" s="58">
        <v>372927</v>
      </c>
      <c r="H303" s="69">
        <v>45606</v>
      </c>
      <c r="I303" s="88">
        <v>0.39</v>
      </c>
      <c r="J303" s="58">
        <v>775139.64</v>
      </c>
    </row>
    <row r="304" spans="1:10" ht="15">
      <c r="A304" s="58" t="s">
        <v>743</v>
      </c>
      <c r="B304" s="58" t="s">
        <v>792</v>
      </c>
      <c r="C304" s="58" t="s">
        <v>807</v>
      </c>
      <c r="D304" s="58" t="s">
        <v>791</v>
      </c>
      <c r="E304" s="58">
        <v>2009195</v>
      </c>
      <c r="F304" s="58">
        <v>37</v>
      </c>
      <c r="G304" s="58">
        <v>121609</v>
      </c>
      <c r="H304" s="69">
        <v>45328</v>
      </c>
      <c r="I304" s="88">
        <v>0.28000000000000003</v>
      </c>
      <c r="J304" s="58">
        <v>3486492.81</v>
      </c>
    </row>
    <row r="305" spans="1:10" ht="15">
      <c r="A305" s="58" t="s">
        <v>746</v>
      </c>
      <c r="B305" s="58" t="s">
        <v>787</v>
      </c>
      <c r="C305" s="58" t="s">
        <v>798</v>
      </c>
      <c r="D305" s="58" t="s">
        <v>815</v>
      </c>
      <c r="E305" s="58">
        <v>1128214</v>
      </c>
      <c r="F305" s="58">
        <v>38</v>
      </c>
      <c r="G305" s="58">
        <v>449345</v>
      </c>
      <c r="H305" s="69">
        <v>44992</v>
      </c>
      <c r="I305" s="88">
        <v>0.48</v>
      </c>
      <c r="J305" s="58">
        <v>1863092</v>
      </c>
    </row>
    <row r="306" spans="1:10" ht="15">
      <c r="A306" s="58" t="s">
        <v>742</v>
      </c>
      <c r="B306" s="58" t="s">
        <v>797</v>
      </c>
      <c r="C306" s="58" t="s">
        <v>809</v>
      </c>
      <c r="D306" s="58" t="s">
        <v>800</v>
      </c>
      <c r="E306" s="58">
        <v>4667106</v>
      </c>
      <c r="F306" s="58">
        <v>9</v>
      </c>
      <c r="G306" s="58">
        <v>305234</v>
      </c>
      <c r="H306" s="69">
        <v>45647</v>
      </c>
      <c r="I306" s="88">
        <v>0.34</v>
      </c>
      <c r="J306" s="58">
        <v>3085730.52</v>
      </c>
    </row>
    <row r="307" spans="1:10" ht="15">
      <c r="A307" s="58" t="s">
        <v>740</v>
      </c>
      <c r="B307" s="58" t="s">
        <v>808</v>
      </c>
      <c r="C307" s="58" t="s">
        <v>799</v>
      </c>
      <c r="D307" s="58" t="s">
        <v>815</v>
      </c>
      <c r="E307" s="58">
        <v>3423584</v>
      </c>
      <c r="F307" s="58">
        <v>25</v>
      </c>
      <c r="G307" s="58">
        <v>259924</v>
      </c>
      <c r="H307" s="69">
        <v>44880</v>
      </c>
      <c r="I307" s="88">
        <v>0.39</v>
      </c>
      <c r="J307" s="58">
        <v>1721116.22</v>
      </c>
    </row>
    <row r="308" spans="1:10" ht="15">
      <c r="A308" s="58" t="s">
        <v>740</v>
      </c>
      <c r="B308" s="58" t="s">
        <v>809</v>
      </c>
      <c r="C308" s="58" t="s">
        <v>809</v>
      </c>
      <c r="D308" s="58" t="s">
        <v>800</v>
      </c>
      <c r="E308" s="58">
        <v>304106</v>
      </c>
      <c r="F308" s="58">
        <v>94</v>
      </c>
      <c r="G308" s="58">
        <v>466488</v>
      </c>
      <c r="H308" s="69">
        <v>44588</v>
      </c>
      <c r="I308" s="88">
        <v>0.16</v>
      </c>
      <c r="J308" s="58">
        <v>2934376.38</v>
      </c>
    </row>
    <row r="309" spans="1:10" ht="15">
      <c r="A309" s="58" t="s">
        <v>748</v>
      </c>
      <c r="B309" s="58" t="s">
        <v>797</v>
      </c>
      <c r="C309" s="58" t="s">
        <v>795</v>
      </c>
      <c r="D309" s="58" t="s">
        <v>791</v>
      </c>
      <c r="E309" s="58">
        <v>3660898</v>
      </c>
      <c r="F309" s="58">
        <v>4</v>
      </c>
      <c r="G309" s="58">
        <v>153453</v>
      </c>
      <c r="H309" s="69">
        <v>44822</v>
      </c>
      <c r="I309" s="88">
        <v>0.25</v>
      </c>
      <c r="J309" s="58">
        <v>4189198.65</v>
      </c>
    </row>
    <row r="310" spans="1:10" ht="15">
      <c r="A310" s="58" t="s">
        <v>741</v>
      </c>
      <c r="B310" s="58" t="s">
        <v>814</v>
      </c>
      <c r="C310" s="58" t="s">
        <v>793</v>
      </c>
      <c r="D310" s="58" t="s">
        <v>813</v>
      </c>
      <c r="E310" s="58">
        <v>489847</v>
      </c>
      <c r="F310" s="58">
        <v>30</v>
      </c>
      <c r="G310" s="58">
        <v>24747</v>
      </c>
      <c r="H310" s="69">
        <v>44958</v>
      </c>
      <c r="I310" s="88">
        <v>0.47</v>
      </c>
      <c r="J310" s="58">
        <v>2249499.87</v>
      </c>
    </row>
    <row r="311" spans="1:10" ht="15">
      <c r="A311" s="58" t="s">
        <v>746</v>
      </c>
      <c r="B311" s="58" t="s">
        <v>814</v>
      </c>
      <c r="C311" s="58" t="s">
        <v>795</v>
      </c>
      <c r="D311" s="58" t="s">
        <v>796</v>
      </c>
      <c r="E311" s="58">
        <v>3244283</v>
      </c>
      <c r="F311" s="58">
        <v>28</v>
      </c>
      <c r="G311" s="58">
        <v>295129</v>
      </c>
      <c r="H311" s="69">
        <v>44582</v>
      </c>
      <c r="I311" s="88">
        <v>0.03</v>
      </c>
      <c r="J311" s="58">
        <v>1485504</v>
      </c>
    </row>
    <row r="312" spans="1:10" ht="15">
      <c r="A312" s="58" t="s">
        <v>745</v>
      </c>
      <c r="B312" s="58" t="s">
        <v>794</v>
      </c>
      <c r="C312" s="58" t="s">
        <v>809</v>
      </c>
      <c r="D312" s="58" t="s">
        <v>801</v>
      </c>
      <c r="E312" s="58">
        <v>746722</v>
      </c>
      <c r="F312" s="58">
        <v>48</v>
      </c>
      <c r="G312" s="58">
        <v>434737</v>
      </c>
      <c r="H312" s="69">
        <v>44931</v>
      </c>
      <c r="I312" s="88">
        <v>0.23</v>
      </c>
      <c r="J312" s="58">
        <v>34521.300000000003</v>
      </c>
    </row>
    <row r="313" spans="1:10" ht="15">
      <c r="A313" s="58" t="s">
        <v>740</v>
      </c>
      <c r="B313" s="58" t="s">
        <v>804</v>
      </c>
      <c r="C313" s="58" t="s">
        <v>795</v>
      </c>
      <c r="D313" s="58" t="s">
        <v>815</v>
      </c>
      <c r="E313" s="58">
        <v>2736233</v>
      </c>
      <c r="F313" s="58">
        <v>96</v>
      </c>
      <c r="G313" s="58">
        <v>489456</v>
      </c>
      <c r="H313" s="69">
        <v>45217</v>
      </c>
      <c r="I313" s="88">
        <v>0.41</v>
      </c>
      <c r="J313" s="58">
        <v>2313157.64</v>
      </c>
    </row>
    <row r="314" spans="1:10" ht="15">
      <c r="A314" s="58" t="s">
        <v>744</v>
      </c>
      <c r="B314" s="58" t="s">
        <v>809</v>
      </c>
      <c r="C314" s="58" t="s">
        <v>795</v>
      </c>
      <c r="D314" s="58" t="s">
        <v>815</v>
      </c>
      <c r="E314" s="58">
        <v>4598544</v>
      </c>
      <c r="F314" s="58">
        <v>35</v>
      </c>
      <c r="G314" s="58">
        <v>77841</v>
      </c>
      <c r="H314" s="69">
        <v>45632</v>
      </c>
      <c r="I314" s="88">
        <v>0.44</v>
      </c>
      <c r="J314" s="58">
        <v>158998.28</v>
      </c>
    </row>
    <row r="315" spans="1:10" ht="15">
      <c r="A315" s="58" t="s">
        <v>746</v>
      </c>
      <c r="B315" s="58" t="s">
        <v>802</v>
      </c>
      <c r="C315" s="58" t="s">
        <v>807</v>
      </c>
      <c r="D315" s="58" t="s">
        <v>805</v>
      </c>
      <c r="E315" s="58">
        <v>759785</v>
      </c>
      <c r="F315" s="58">
        <v>90</v>
      </c>
      <c r="G315" s="58">
        <v>498857</v>
      </c>
      <c r="H315" s="69">
        <v>44775</v>
      </c>
      <c r="I315" s="88">
        <v>0.38</v>
      </c>
      <c r="J315" s="58">
        <v>1169361.9199999999</v>
      </c>
    </row>
    <row r="316" spans="1:10" ht="15">
      <c r="A316" s="58" t="s">
        <v>747</v>
      </c>
      <c r="B316" s="58" t="s">
        <v>802</v>
      </c>
      <c r="C316" s="58" t="s">
        <v>788</v>
      </c>
      <c r="D316" s="58" t="s">
        <v>800</v>
      </c>
      <c r="E316" s="58">
        <v>3274706</v>
      </c>
      <c r="F316" s="58">
        <v>84</v>
      </c>
      <c r="G316" s="58">
        <v>20611</v>
      </c>
      <c r="H316" s="69">
        <v>44909</v>
      </c>
      <c r="I316" s="88">
        <v>0.47</v>
      </c>
      <c r="J316" s="58">
        <v>379232.28</v>
      </c>
    </row>
    <row r="317" spans="1:10" ht="15">
      <c r="A317" s="58" t="s">
        <v>748</v>
      </c>
      <c r="B317" s="58" t="s">
        <v>792</v>
      </c>
      <c r="C317" s="58" t="s">
        <v>798</v>
      </c>
      <c r="D317" s="58" t="s">
        <v>813</v>
      </c>
      <c r="E317" s="58">
        <v>1870899</v>
      </c>
      <c r="F317" s="58">
        <v>54</v>
      </c>
      <c r="G317" s="58">
        <v>297057</v>
      </c>
      <c r="H317" s="69">
        <v>45425</v>
      </c>
      <c r="I317" s="88">
        <v>0.01</v>
      </c>
      <c r="J317" s="58">
        <v>877210.72</v>
      </c>
    </row>
    <row r="318" spans="1:10" ht="15">
      <c r="A318" s="58" t="s">
        <v>748</v>
      </c>
      <c r="B318" s="58" t="s">
        <v>787</v>
      </c>
      <c r="C318" s="58" t="s">
        <v>793</v>
      </c>
      <c r="D318" s="58" t="s">
        <v>812</v>
      </c>
      <c r="E318" s="58">
        <v>537485</v>
      </c>
      <c r="F318" s="58">
        <v>21</v>
      </c>
      <c r="G318" s="58">
        <v>224636</v>
      </c>
      <c r="H318" s="69">
        <v>44879</v>
      </c>
      <c r="I318" s="88">
        <v>0.35</v>
      </c>
      <c r="J318" s="58">
        <v>3253062.75</v>
      </c>
    </row>
    <row r="319" spans="1:10" ht="15">
      <c r="A319" s="58" t="s">
        <v>745</v>
      </c>
      <c r="B319" s="58" t="s">
        <v>808</v>
      </c>
      <c r="C319" s="58" t="s">
        <v>795</v>
      </c>
      <c r="D319" s="58" t="s">
        <v>805</v>
      </c>
      <c r="E319" s="58">
        <v>385469</v>
      </c>
      <c r="F319" s="58">
        <v>7</v>
      </c>
      <c r="G319" s="58">
        <v>322664</v>
      </c>
      <c r="H319" s="69">
        <v>44671</v>
      </c>
      <c r="I319" s="88">
        <v>0.14000000000000001</v>
      </c>
      <c r="J319" s="58">
        <v>2033938.24</v>
      </c>
    </row>
    <row r="320" spans="1:10" ht="15">
      <c r="A320" s="58" t="s">
        <v>745</v>
      </c>
      <c r="B320" s="58" t="s">
        <v>802</v>
      </c>
      <c r="C320" s="58" t="s">
        <v>798</v>
      </c>
      <c r="D320" s="58" t="s">
        <v>806</v>
      </c>
      <c r="E320" s="58">
        <v>2657080</v>
      </c>
      <c r="F320" s="58">
        <v>50</v>
      </c>
      <c r="G320" s="58">
        <v>77636</v>
      </c>
      <c r="H320" s="69">
        <v>44936</v>
      </c>
      <c r="I320" s="88">
        <v>0.23</v>
      </c>
      <c r="J320" s="58">
        <v>845321.76</v>
      </c>
    </row>
    <row r="321" spans="1:10" ht="15">
      <c r="A321" s="58" t="s">
        <v>741</v>
      </c>
      <c r="B321" s="58" t="s">
        <v>802</v>
      </c>
      <c r="C321" s="58" t="s">
        <v>793</v>
      </c>
      <c r="D321" s="58" t="s">
        <v>801</v>
      </c>
      <c r="E321" s="58">
        <v>3348089</v>
      </c>
      <c r="F321" s="58">
        <v>98</v>
      </c>
      <c r="G321" s="58">
        <v>319338</v>
      </c>
      <c r="H321" s="69">
        <v>45142</v>
      </c>
      <c r="I321" s="88">
        <v>0.08</v>
      </c>
      <c r="J321" s="58">
        <v>2036934.9</v>
      </c>
    </row>
    <row r="322" spans="1:10" ht="15">
      <c r="A322" s="58" t="s">
        <v>744</v>
      </c>
      <c r="B322" s="58" t="s">
        <v>794</v>
      </c>
      <c r="C322" s="58" t="s">
        <v>793</v>
      </c>
      <c r="D322" s="58" t="s">
        <v>806</v>
      </c>
      <c r="E322" s="58">
        <v>2138156</v>
      </c>
      <c r="F322" s="58">
        <v>74</v>
      </c>
      <c r="G322" s="58">
        <v>346644</v>
      </c>
      <c r="H322" s="69">
        <v>45638</v>
      </c>
      <c r="I322" s="88">
        <v>0.17</v>
      </c>
      <c r="J322" s="58">
        <v>989165.26</v>
      </c>
    </row>
    <row r="323" spans="1:10" ht="15">
      <c r="A323" s="58" t="s">
        <v>740</v>
      </c>
      <c r="B323" s="58" t="s">
        <v>797</v>
      </c>
      <c r="C323" s="58" t="s">
        <v>799</v>
      </c>
      <c r="D323" s="58" t="s">
        <v>815</v>
      </c>
      <c r="E323" s="58">
        <v>1485190</v>
      </c>
      <c r="F323" s="58">
        <v>70</v>
      </c>
      <c r="G323" s="58">
        <v>387119</v>
      </c>
      <c r="H323" s="69">
        <v>45590</v>
      </c>
      <c r="I323" s="88">
        <v>0.27</v>
      </c>
      <c r="J323" s="58">
        <v>4228869.5999999996</v>
      </c>
    </row>
    <row r="324" spans="1:10" ht="15">
      <c r="A324" s="58" t="s">
        <v>746</v>
      </c>
      <c r="B324" s="58" t="s">
        <v>804</v>
      </c>
      <c r="C324" s="58" t="s">
        <v>799</v>
      </c>
      <c r="D324" s="58" t="s">
        <v>813</v>
      </c>
      <c r="E324" s="58">
        <v>4121273</v>
      </c>
      <c r="F324" s="58">
        <v>27</v>
      </c>
      <c r="G324" s="58">
        <v>226586</v>
      </c>
      <c r="H324" s="69">
        <v>44912</v>
      </c>
      <c r="I324" s="88">
        <v>0.39</v>
      </c>
      <c r="J324" s="58">
        <v>2873149.06</v>
      </c>
    </row>
    <row r="325" spans="1:10" ht="15">
      <c r="A325" s="58" t="s">
        <v>746</v>
      </c>
      <c r="B325" s="58" t="s">
        <v>804</v>
      </c>
      <c r="C325" s="58" t="s">
        <v>809</v>
      </c>
      <c r="D325" s="58" t="s">
        <v>789</v>
      </c>
      <c r="E325" s="58">
        <v>2363541</v>
      </c>
      <c r="F325" s="58">
        <v>39</v>
      </c>
      <c r="G325" s="58">
        <v>496710</v>
      </c>
      <c r="H325" s="69">
        <v>45354</v>
      </c>
      <c r="I325" s="88">
        <v>0.26</v>
      </c>
      <c r="J325" s="58">
        <v>2431150.5</v>
      </c>
    </row>
    <row r="326" spans="1:10" ht="15">
      <c r="A326" s="58" t="s">
        <v>747</v>
      </c>
      <c r="B326" s="58" t="s">
        <v>792</v>
      </c>
      <c r="C326" s="58" t="s">
        <v>788</v>
      </c>
      <c r="D326" s="58" t="s">
        <v>812</v>
      </c>
      <c r="E326" s="58">
        <v>231321</v>
      </c>
      <c r="F326" s="58">
        <v>73</v>
      </c>
      <c r="G326" s="58">
        <v>464442</v>
      </c>
      <c r="H326" s="69">
        <v>44572</v>
      </c>
      <c r="I326" s="88">
        <v>0.27</v>
      </c>
      <c r="J326" s="58">
        <v>880963.02</v>
      </c>
    </row>
    <row r="327" spans="1:10" ht="15">
      <c r="A327" s="58" t="s">
        <v>740</v>
      </c>
      <c r="B327" s="58" t="s">
        <v>794</v>
      </c>
      <c r="C327" s="58" t="s">
        <v>807</v>
      </c>
      <c r="D327" s="58" t="s">
        <v>796</v>
      </c>
      <c r="E327" s="58">
        <v>2199554</v>
      </c>
      <c r="F327" s="58">
        <v>10</v>
      </c>
      <c r="G327" s="58">
        <v>162079</v>
      </c>
      <c r="H327" s="69">
        <v>45146</v>
      </c>
      <c r="I327" s="88">
        <v>0.16</v>
      </c>
      <c r="J327" s="58">
        <v>1883764.79</v>
      </c>
    </row>
    <row r="328" spans="1:10" ht="15">
      <c r="A328" s="58" t="s">
        <v>741</v>
      </c>
      <c r="B328" s="58" t="s">
        <v>809</v>
      </c>
      <c r="C328" s="58" t="s">
        <v>795</v>
      </c>
      <c r="D328" s="58" t="s">
        <v>810</v>
      </c>
      <c r="E328" s="58">
        <v>2223088</v>
      </c>
      <c r="F328" s="58">
        <v>83</v>
      </c>
      <c r="G328" s="58">
        <v>75788</v>
      </c>
      <c r="H328" s="69">
        <v>45135</v>
      </c>
      <c r="I328" s="88">
        <v>0.01</v>
      </c>
      <c r="J328" s="58">
        <v>4253729.3600000003</v>
      </c>
    </row>
    <row r="329" spans="1:10" ht="15">
      <c r="A329" s="58" t="s">
        <v>743</v>
      </c>
      <c r="B329" s="58" t="s">
        <v>804</v>
      </c>
      <c r="C329" s="58" t="s">
        <v>788</v>
      </c>
      <c r="D329" s="58" t="s">
        <v>800</v>
      </c>
      <c r="E329" s="58">
        <v>2816974</v>
      </c>
      <c r="F329" s="58">
        <v>79</v>
      </c>
      <c r="G329" s="58">
        <v>311875</v>
      </c>
      <c r="H329" s="69">
        <v>45261</v>
      </c>
      <c r="I329" s="88">
        <v>0.04</v>
      </c>
      <c r="J329" s="58">
        <v>3392297.05</v>
      </c>
    </row>
    <row r="330" spans="1:10" ht="15">
      <c r="A330" s="58" t="s">
        <v>745</v>
      </c>
      <c r="B330" s="58" t="s">
        <v>809</v>
      </c>
      <c r="C330" s="58" t="s">
        <v>807</v>
      </c>
      <c r="D330" s="58" t="s">
        <v>791</v>
      </c>
      <c r="E330" s="58">
        <v>3690464</v>
      </c>
      <c r="F330" s="58">
        <v>9</v>
      </c>
      <c r="G330" s="58">
        <v>426880</v>
      </c>
      <c r="H330" s="69">
        <v>44566</v>
      </c>
      <c r="I330" s="88">
        <v>0.13</v>
      </c>
      <c r="J330" s="58">
        <v>1002377.22</v>
      </c>
    </row>
    <row r="331" spans="1:10" ht="15">
      <c r="A331" s="58" t="s">
        <v>744</v>
      </c>
      <c r="B331" s="58" t="s">
        <v>808</v>
      </c>
      <c r="C331" s="58" t="s">
        <v>795</v>
      </c>
      <c r="D331" s="58" t="s">
        <v>801</v>
      </c>
      <c r="E331" s="58">
        <v>3263366</v>
      </c>
      <c r="F331" s="58">
        <v>55</v>
      </c>
      <c r="G331" s="58">
        <v>149724</v>
      </c>
      <c r="H331" s="69">
        <v>44693</v>
      </c>
      <c r="I331" s="88">
        <v>0.46</v>
      </c>
      <c r="J331" s="58">
        <v>3857363.51</v>
      </c>
    </row>
    <row r="332" spans="1:10" ht="15">
      <c r="A332" s="58" t="s">
        <v>740</v>
      </c>
      <c r="B332" s="58" t="s">
        <v>804</v>
      </c>
      <c r="C332" s="58" t="s">
        <v>788</v>
      </c>
      <c r="D332" s="58" t="s">
        <v>801</v>
      </c>
      <c r="E332" s="58">
        <v>4208721</v>
      </c>
      <c r="F332" s="58">
        <v>55</v>
      </c>
      <c r="G332" s="58">
        <v>356726</v>
      </c>
      <c r="H332" s="69">
        <v>45513</v>
      </c>
      <c r="I332" s="88">
        <v>0.16</v>
      </c>
      <c r="J332" s="58">
        <v>2744712.2</v>
      </c>
    </row>
    <row r="333" spans="1:10" ht="15">
      <c r="A333" s="58" t="s">
        <v>747</v>
      </c>
      <c r="B333" s="58" t="s">
        <v>804</v>
      </c>
      <c r="C333" s="58" t="s">
        <v>807</v>
      </c>
      <c r="D333" s="58" t="s">
        <v>803</v>
      </c>
      <c r="E333" s="58">
        <v>845611</v>
      </c>
      <c r="F333" s="58">
        <v>64</v>
      </c>
      <c r="G333" s="58">
        <v>213845</v>
      </c>
      <c r="H333" s="69">
        <v>44753</v>
      </c>
      <c r="I333" s="88">
        <v>0.09</v>
      </c>
      <c r="J333" s="58">
        <v>2177369.91</v>
      </c>
    </row>
    <row r="334" spans="1:10" ht="15">
      <c r="A334" s="58" t="s">
        <v>747</v>
      </c>
      <c r="B334" s="58" t="s">
        <v>804</v>
      </c>
      <c r="C334" s="58" t="s">
        <v>809</v>
      </c>
      <c r="D334" s="58" t="s">
        <v>805</v>
      </c>
      <c r="E334" s="58">
        <v>2101114</v>
      </c>
      <c r="F334" s="58">
        <v>29</v>
      </c>
      <c r="G334" s="58">
        <v>137870</v>
      </c>
      <c r="H334" s="69">
        <v>45318</v>
      </c>
      <c r="I334" s="88">
        <v>0.25</v>
      </c>
      <c r="J334" s="58">
        <v>2390835</v>
      </c>
    </row>
    <row r="335" spans="1:10" ht="15">
      <c r="A335" s="58" t="s">
        <v>746</v>
      </c>
      <c r="B335" s="58" t="s">
        <v>792</v>
      </c>
      <c r="C335" s="58" t="s">
        <v>799</v>
      </c>
      <c r="D335" s="58" t="s">
        <v>810</v>
      </c>
      <c r="E335" s="58">
        <v>2281545</v>
      </c>
      <c r="F335" s="58">
        <v>28</v>
      </c>
      <c r="G335" s="58">
        <v>253901</v>
      </c>
      <c r="H335" s="69">
        <v>45148</v>
      </c>
      <c r="I335" s="88">
        <v>0.11</v>
      </c>
      <c r="J335" s="58">
        <v>1355202.8</v>
      </c>
    </row>
    <row r="336" spans="1:10" ht="15">
      <c r="A336" s="58" t="s">
        <v>740</v>
      </c>
      <c r="B336" s="58" t="s">
        <v>808</v>
      </c>
      <c r="C336" s="58" t="s">
        <v>798</v>
      </c>
      <c r="D336" s="58" t="s">
        <v>806</v>
      </c>
      <c r="E336" s="58">
        <v>3545964</v>
      </c>
      <c r="F336" s="58">
        <v>94</v>
      </c>
      <c r="G336" s="58">
        <v>67345</v>
      </c>
      <c r="H336" s="69">
        <v>44844</v>
      </c>
      <c r="I336" s="88">
        <v>0.03</v>
      </c>
      <c r="J336" s="58">
        <v>4663433.6100000003</v>
      </c>
    </row>
    <row r="337" spans="1:10" ht="15">
      <c r="A337" s="58" t="s">
        <v>747</v>
      </c>
      <c r="B337" s="58" t="s">
        <v>802</v>
      </c>
      <c r="C337" s="58" t="s">
        <v>798</v>
      </c>
      <c r="D337" s="58" t="s">
        <v>801</v>
      </c>
      <c r="E337" s="58">
        <v>171477</v>
      </c>
      <c r="F337" s="58">
        <v>18</v>
      </c>
      <c r="G337" s="58">
        <v>56011</v>
      </c>
      <c r="H337" s="69">
        <v>44638</v>
      </c>
      <c r="I337" s="88">
        <v>0.37</v>
      </c>
      <c r="J337" s="58">
        <v>521684.46</v>
      </c>
    </row>
    <row r="338" spans="1:10" ht="15">
      <c r="A338" s="58" t="s">
        <v>740</v>
      </c>
      <c r="B338" s="58" t="s">
        <v>814</v>
      </c>
      <c r="C338" s="58" t="s">
        <v>807</v>
      </c>
      <c r="D338" s="58" t="s">
        <v>805</v>
      </c>
      <c r="E338" s="58">
        <v>3216730</v>
      </c>
      <c r="F338" s="58">
        <v>68</v>
      </c>
      <c r="G338" s="58">
        <v>455677</v>
      </c>
      <c r="H338" s="69">
        <v>44976</v>
      </c>
      <c r="I338" s="88">
        <v>0.4</v>
      </c>
      <c r="J338" s="58">
        <v>362611.6</v>
      </c>
    </row>
    <row r="339" spans="1:10" ht="15">
      <c r="A339" s="58" t="s">
        <v>742</v>
      </c>
      <c r="B339" s="58" t="s">
        <v>809</v>
      </c>
      <c r="C339" s="58" t="s">
        <v>793</v>
      </c>
      <c r="D339" s="58" t="s">
        <v>811</v>
      </c>
      <c r="E339" s="58">
        <v>1973851</v>
      </c>
      <c r="F339" s="58">
        <v>84</v>
      </c>
      <c r="G339" s="58">
        <v>177949</v>
      </c>
      <c r="H339" s="69">
        <v>45240</v>
      </c>
      <c r="I339" s="88">
        <v>0.18</v>
      </c>
      <c r="J339" s="58">
        <v>1363031.61</v>
      </c>
    </row>
    <row r="340" spans="1:10" ht="15">
      <c r="A340" s="58" t="s">
        <v>746</v>
      </c>
      <c r="B340" s="58" t="s">
        <v>787</v>
      </c>
      <c r="C340" s="58" t="s">
        <v>799</v>
      </c>
      <c r="D340" s="58" t="s">
        <v>810</v>
      </c>
      <c r="E340" s="58">
        <v>3688184</v>
      </c>
      <c r="F340" s="58">
        <v>85</v>
      </c>
      <c r="G340" s="58">
        <v>121004</v>
      </c>
      <c r="H340" s="69">
        <v>45450</v>
      </c>
      <c r="I340" s="88">
        <v>0.26</v>
      </c>
      <c r="J340" s="58">
        <v>2307099.34</v>
      </c>
    </row>
    <row r="341" spans="1:10" ht="15">
      <c r="A341" s="58" t="s">
        <v>747</v>
      </c>
      <c r="B341" s="58" t="s">
        <v>802</v>
      </c>
      <c r="C341" s="58" t="s">
        <v>795</v>
      </c>
      <c r="D341" s="58" t="s">
        <v>810</v>
      </c>
      <c r="E341" s="58">
        <v>2775404</v>
      </c>
      <c r="F341" s="58">
        <v>96</v>
      </c>
      <c r="G341" s="58">
        <v>75728</v>
      </c>
      <c r="H341" s="69">
        <v>44777</v>
      </c>
      <c r="I341" s="88">
        <v>0.41</v>
      </c>
      <c r="J341" s="58">
        <v>481456.5</v>
      </c>
    </row>
    <row r="342" spans="1:10" ht="15">
      <c r="A342" s="58" t="s">
        <v>742</v>
      </c>
      <c r="B342" s="58" t="s">
        <v>804</v>
      </c>
      <c r="C342" s="58" t="s">
        <v>799</v>
      </c>
      <c r="D342" s="58" t="s">
        <v>806</v>
      </c>
      <c r="E342" s="58">
        <v>3098783</v>
      </c>
      <c r="F342" s="58">
        <v>6</v>
      </c>
      <c r="G342" s="58">
        <v>216955</v>
      </c>
      <c r="H342" s="69">
        <v>45070</v>
      </c>
      <c r="I342" s="88">
        <v>0.19</v>
      </c>
      <c r="J342" s="58">
        <v>2166460.92</v>
      </c>
    </row>
    <row r="343" spans="1:10" ht="15">
      <c r="A343" s="58" t="s">
        <v>745</v>
      </c>
      <c r="B343" s="58" t="s">
        <v>787</v>
      </c>
      <c r="C343" s="58" t="s">
        <v>793</v>
      </c>
      <c r="D343" s="58" t="s">
        <v>789</v>
      </c>
      <c r="E343" s="58">
        <v>1142727</v>
      </c>
      <c r="F343" s="58">
        <v>58</v>
      </c>
      <c r="G343" s="58">
        <v>244187</v>
      </c>
      <c r="H343" s="69">
        <v>44813</v>
      </c>
      <c r="I343" s="88">
        <v>0.13</v>
      </c>
      <c r="J343" s="58">
        <v>2293314.02</v>
      </c>
    </row>
    <row r="344" spans="1:10" ht="15">
      <c r="A344" s="58" t="s">
        <v>749</v>
      </c>
      <c r="B344" s="58" t="s">
        <v>802</v>
      </c>
      <c r="C344" s="58" t="s">
        <v>809</v>
      </c>
      <c r="D344" s="58" t="s">
        <v>791</v>
      </c>
      <c r="E344" s="58">
        <v>3386415</v>
      </c>
      <c r="F344" s="58">
        <v>66</v>
      </c>
      <c r="G344" s="58">
        <v>97321</v>
      </c>
      <c r="H344" s="69">
        <v>45274</v>
      </c>
      <c r="I344" s="88">
        <v>0.49</v>
      </c>
      <c r="J344" s="58">
        <v>3210636.63</v>
      </c>
    </row>
    <row r="345" spans="1:10" ht="15">
      <c r="A345" s="58" t="s">
        <v>741</v>
      </c>
      <c r="B345" s="58" t="s">
        <v>787</v>
      </c>
      <c r="C345" s="58" t="s">
        <v>788</v>
      </c>
      <c r="D345" s="58" t="s">
        <v>796</v>
      </c>
      <c r="E345" s="58">
        <v>679871</v>
      </c>
      <c r="F345" s="58">
        <v>15</v>
      </c>
      <c r="G345" s="58">
        <v>139026</v>
      </c>
      <c r="H345" s="69">
        <v>45357</v>
      </c>
      <c r="I345" s="88">
        <v>0.03</v>
      </c>
      <c r="J345" s="58">
        <v>2250669.2599999998</v>
      </c>
    </row>
    <row r="346" spans="1:10" ht="15">
      <c r="A346" s="58" t="s">
        <v>745</v>
      </c>
      <c r="B346" s="58" t="s">
        <v>809</v>
      </c>
      <c r="C346" s="58" t="s">
        <v>809</v>
      </c>
      <c r="D346" s="58" t="s">
        <v>812</v>
      </c>
      <c r="E346" s="58">
        <v>4161705</v>
      </c>
      <c r="F346" s="58">
        <v>64</v>
      </c>
      <c r="G346" s="58">
        <v>37821</v>
      </c>
      <c r="H346" s="69">
        <v>45571</v>
      </c>
      <c r="I346" s="88">
        <v>0.35</v>
      </c>
      <c r="J346" s="58">
        <v>826502.62</v>
      </c>
    </row>
    <row r="347" spans="1:10" ht="15">
      <c r="A347" s="58" t="s">
        <v>745</v>
      </c>
      <c r="B347" s="58" t="s">
        <v>792</v>
      </c>
      <c r="C347" s="58" t="s">
        <v>809</v>
      </c>
      <c r="D347" s="58" t="s">
        <v>810</v>
      </c>
      <c r="E347" s="58">
        <v>4096044</v>
      </c>
      <c r="F347" s="58">
        <v>76</v>
      </c>
      <c r="G347" s="58">
        <v>63773</v>
      </c>
      <c r="H347" s="69">
        <v>44563</v>
      </c>
      <c r="I347" s="88">
        <v>0.19</v>
      </c>
      <c r="J347" s="58">
        <v>1505591.84</v>
      </c>
    </row>
    <row r="348" spans="1:10" ht="15">
      <c r="A348" s="58" t="s">
        <v>744</v>
      </c>
      <c r="B348" s="58" t="s">
        <v>808</v>
      </c>
      <c r="C348" s="58" t="s">
        <v>799</v>
      </c>
      <c r="D348" s="58" t="s">
        <v>810</v>
      </c>
      <c r="E348" s="58">
        <v>3487479</v>
      </c>
      <c r="F348" s="58">
        <v>33</v>
      </c>
      <c r="G348" s="58">
        <v>209497</v>
      </c>
      <c r="H348" s="69">
        <v>45026</v>
      </c>
      <c r="I348" s="88">
        <v>0.01</v>
      </c>
      <c r="J348" s="58">
        <v>1066229.3999999999</v>
      </c>
    </row>
    <row r="349" spans="1:10" ht="15">
      <c r="A349" s="58" t="s">
        <v>745</v>
      </c>
      <c r="B349" s="58" t="s">
        <v>792</v>
      </c>
      <c r="C349" s="58" t="s">
        <v>799</v>
      </c>
      <c r="D349" s="58" t="s">
        <v>789</v>
      </c>
      <c r="E349" s="58">
        <v>2470150</v>
      </c>
      <c r="F349" s="58">
        <v>40</v>
      </c>
      <c r="G349" s="58">
        <v>473506</v>
      </c>
      <c r="H349" s="69">
        <v>44905</v>
      </c>
      <c r="I349" s="88">
        <v>0.13</v>
      </c>
      <c r="J349" s="58">
        <v>2197660.9</v>
      </c>
    </row>
    <row r="350" spans="1:10" ht="15">
      <c r="A350" s="58" t="s">
        <v>740</v>
      </c>
      <c r="B350" s="58" t="s">
        <v>787</v>
      </c>
      <c r="C350" s="58" t="s">
        <v>798</v>
      </c>
      <c r="D350" s="58" t="s">
        <v>812</v>
      </c>
      <c r="E350" s="58">
        <v>4275359</v>
      </c>
      <c r="F350" s="58">
        <v>69</v>
      </c>
      <c r="G350" s="58">
        <v>484967</v>
      </c>
      <c r="H350" s="69">
        <v>45056</v>
      </c>
      <c r="I350" s="88">
        <v>0.04</v>
      </c>
      <c r="J350" s="58">
        <v>569821.15</v>
      </c>
    </row>
    <row r="351" spans="1:10" ht="15">
      <c r="A351" s="58" t="s">
        <v>742</v>
      </c>
      <c r="B351" s="58" t="s">
        <v>790</v>
      </c>
      <c r="C351" s="58" t="s">
        <v>809</v>
      </c>
      <c r="D351" s="58" t="s">
        <v>810</v>
      </c>
      <c r="E351" s="58">
        <v>307811</v>
      </c>
      <c r="F351" s="58">
        <v>39</v>
      </c>
      <c r="G351" s="58">
        <v>46824</v>
      </c>
      <c r="H351" s="69">
        <v>44768</v>
      </c>
      <c r="I351" s="88">
        <v>0.33</v>
      </c>
      <c r="J351" s="58">
        <v>550851.36</v>
      </c>
    </row>
    <row r="352" spans="1:10" ht="15">
      <c r="A352" s="58" t="s">
        <v>746</v>
      </c>
      <c r="B352" s="58" t="s">
        <v>808</v>
      </c>
      <c r="C352" s="58" t="s">
        <v>807</v>
      </c>
      <c r="D352" s="58" t="s">
        <v>813</v>
      </c>
      <c r="E352" s="58">
        <v>4093408</v>
      </c>
      <c r="F352" s="58">
        <v>75</v>
      </c>
      <c r="G352" s="58">
        <v>247128</v>
      </c>
      <c r="H352" s="69">
        <v>44740</v>
      </c>
      <c r="I352" s="88">
        <v>0.36</v>
      </c>
      <c r="J352" s="58">
        <v>1923870.96</v>
      </c>
    </row>
    <row r="353" spans="1:10" ht="15">
      <c r="A353" s="58" t="s">
        <v>740</v>
      </c>
      <c r="B353" s="58" t="s">
        <v>797</v>
      </c>
      <c r="C353" s="58" t="s">
        <v>793</v>
      </c>
      <c r="D353" s="58" t="s">
        <v>800</v>
      </c>
      <c r="E353" s="58">
        <v>2855395</v>
      </c>
      <c r="F353" s="58">
        <v>78</v>
      </c>
      <c r="G353" s="58">
        <v>490057</v>
      </c>
      <c r="H353" s="69">
        <v>45174</v>
      </c>
      <c r="I353" s="88">
        <v>0.35</v>
      </c>
      <c r="J353" s="58">
        <v>2395228.4700000002</v>
      </c>
    </row>
    <row r="354" spans="1:10" ht="15">
      <c r="A354" s="58" t="s">
        <v>747</v>
      </c>
      <c r="B354" s="58" t="s">
        <v>797</v>
      </c>
      <c r="C354" s="58" t="s">
        <v>809</v>
      </c>
      <c r="D354" s="58" t="s">
        <v>805</v>
      </c>
      <c r="E354" s="58">
        <v>2412550</v>
      </c>
      <c r="F354" s="58">
        <v>94</v>
      </c>
      <c r="G354" s="58">
        <v>172918</v>
      </c>
      <c r="H354" s="69">
        <v>44916</v>
      </c>
      <c r="I354" s="88">
        <v>0.14000000000000001</v>
      </c>
      <c r="J354" s="58">
        <v>1061941.92</v>
      </c>
    </row>
    <row r="355" spans="1:10" ht="15">
      <c r="A355" s="58" t="s">
        <v>742</v>
      </c>
      <c r="B355" s="58" t="s">
        <v>802</v>
      </c>
      <c r="C355" s="58" t="s">
        <v>788</v>
      </c>
      <c r="D355" s="58" t="s">
        <v>801</v>
      </c>
      <c r="E355" s="58">
        <v>3872723</v>
      </c>
      <c r="F355" s="58">
        <v>1</v>
      </c>
      <c r="G355" s="58">
        <v>400159</v>
      </c>
      <c r="H355" s="69">
        <v>45171</v>
      </c>
      <c r="I355" s="88">
        <v>0.28000000000000003</v>
      </c>
      <c r="J355" s="58">
        <v>1334006.67</v>
      </c>
    </row>
    <row r="356" spans="1:10" ht="15">
      <c r="A356" s="58" t="s">
        <v>748</v>
      </c>
      <c r="B356" s="58" t="s">
        <v>809</v>
      </c>
      <c r="C356" s="58" t="s">
        <v>809</v>
      </c>
      <c r="D356" s="58" t="s">
        <v>810</v>
      </c>
      <c r="E356" s="58">
        <v>4609292</v>
      </c>
      <c r="F356" s="58">
        <v>1</v>
      </c>
      <c r="G356" s="58">
        <v>282751</v>
      </c>
      <c r="H356" s="69">
        <v>44786</v>
      </c>
      <c r="I356" s="88">
        <v>0.11</v>
      </c>
      <c r="J356" s="58">
        <v>2764962.2</v>
      </c>
    </row>
    <row r="357" spans="1:10" ht="15">
      <c r="A357" s="58" t="s">
        <v>748</v>
      </c>
      <c r="B357" s="58" t="s">
        <v>804</v>
      </c>
      <c r="C357" s="58" t="s">
        <v>795</v>
      </c>
      <c r="D357" s="58" t="s">
        <v>805</v>
      </c>
      <c r="E357" s="58">
        <v>3502414</v>
      </c>
      <c r="F357" s="58">
        <v>78</v>
      </c>
      <c r="G357" s="58">
        <v>99911</v>
      </c>
      <c r="H357" s="69">
        <v>45287</v>
      </c>
      <c r="I357" s="88">
        <v>0.48</v>
      </c>
      <c r="J357" s="58">
        <v>1526029.92</v>
      </c>
    </row>
    <row r="358" spans="1:10" ht="15">
      <c r="A358" s="58" t="s">
        <v>749</v>
      </c>
      <c r="B358" s="58" t="s">
        <v>804</v>
      </c>
      <c r="C358" s="58" t="s">
        <v>799</v>
      </c>
      <c r="D358" s="58" t="s">
        <v>812</v>
      </c>
      <c r="E358" s="58">
        <v>3664373</v>
      </c>
      <c r="F358" s="58">
        <v>22</v>
      </c>
      <c r="G358" s="58">
        <v>356062</v>
      </c>
      <c r="H358" s="69">
        <v>44830</v>
      </c>
      <c r="I358" s="88">
        <v>0.17</v>
      </c>
      <c r="J358" s="58">
        <v>4061198.96</v>
      </c>
    </row>
    <row r="359" spans="1:10" ht="15">
      <c r="A359" s="58" t="s">
        <v>742</v>
      </c>
      <c r="B359" s="58" t="s">
        <v>802</v>
      </c>
      <c r="C359" s="58" t="s">
        <v>798</v>
      </c>
      <c r="D359" s="58" t="s">
        <v>796</v>
      </c>
      <c r="E359" s="58">
        <v>556040</v>
      </c>
      <c r="F359" s="58">
        <v>17</v>
      </c>
      <c r="G359" s="58">
        <v>396659</v>
      </c>
      <c r="H359" s="69">
        <v>45098</v>
      </c>
      <c r="I359" s="88">
        <v>0.02</v>
      </c>
      <c r="J359" s="58">
        <v>2432241.7599999998</v>
      </c>
    </row>
    <row r="360" spans="1:10" ht="15">
      <c r="A360" s="58" t="s">
        <v>740</v>
      </c>
      <c r="B360" s="58" t="s">
        <v>809</v>
      </c>
      <c r="C360" s="58" t="s">
        <v>798</v>
      </c>
      <c r="D360" s="58" t="s">
        <v>791</v>
      </c>
      <c r="E360" s="58">
        <v>44075</v>
      </c>
      <c r="F360" s="58">
        <v>80</v>
      </c>
      <c r="G360" s="58">
        <v>24688</v>
      </c>
      <c r="H360" s="69">
        <v>44899</v>
      </c>
      <c r="I360" s="88">
        <v>0.41</v>
      </c>
      <c r="J360" s="58">
        <v>3695464.08</v>
      </c>
    </row>
    <row r="361" spans="1:10" ht="15">
      <c r="A361" s="58" t="s">
        <v>744</v>
      </c>
      <c r="B361" s="58" t="s">
        <v>814</v>
      </c>
      <c r="C361" s="58" t="s">
        <v>798</v>
      </c>
      <c r="D361" s="58" t="s">
        <v>812</v>
      </c>
      <c r="E361" s="58">
        <v>4572955</v>
      </c>
      <c r="F361" s="58">
        <v>19</v>
      </c>
      <c r="G361" s="58">
        <v>491150</v>
      </c>
      <c r="H361" s="69">
        <v>45532</v>
      </c>
      <c r="I361" s="88">
        <v>0.11</v>
      </c>
      <c r="J361" s="58">
        <v>2158056.48</v>
      </c>
    </row>
    <row r="362" spans="1:10" ht="15">
      <c r="A362" s="58" t="s">
        <v>744</v>
      </c>
      <c r="B362" s="58" t="s">
        <v>814</v>
      </c>
      <c r="C362" s="58" t="s">
        <v>788</v>
      </c>
      <c r="D362" s="58" t="s">
        <v>805</v>
      </c>
      <c r="E362" s="58">
        <v>3303394</v>
      </c>
      <c r="F362" s="58">
        <v>5</v>
      </c>
      <c r="G362" s="58">
        <v>151449</v>
      </c>
      <c r="H362" s="69">
        <v>44849</v>
      </c>
      <c r="I362" s="88">
        <v>0.42</v>
      </c>
      <c r="J362" s="58">
        <v>4211432</v>
      </c>
    </row>
    <row r="363" spans="1:10" ht="15">
      <c r="A363" s="58" t="s">
        <v>740</v>
      </c>
      <c r="B363" s="58" t="s">
        <v>797</v>
      </c>
      <c r="C363" s="58" t="s">
        <v>799</v>
      </c>
      <c r="D363" s="58" t="s">
        <v>796</v>
      </c>
      <c r="E363" s="58">
        <v>3858322</v>
      </c>
      <c r="F363" s="58">
        <v>73</v>
      </c>
      <c r="G363" s="58">
        <v>294174</v>
      </c>
      <c r="H363" s="69">
        <v>45576</v>
      </c>
      <c r="I363" s="88">
        <v>0.38</v>
      </c>
      <c r="J363" s="58">
        <v>4483848.88</v>
      </c>
    </row>
    <row r="364" spans="1:10" ht="15">
      <c r="A364" s="58" t="s">
        <v>743</v>
      </c>
      <c r="B364" s="58" t="s">
        <v>802</v>
      </c>
      <c r="C364" s="58" t="s">
        <v>795</v>
      </c>
      <c r="D364" s="58" t="s">
        <v>806</v>
      </c>
      <c r="E364" s="58">
        <v>626533</v>
      </c>
      <c r="F364" s="58">
        <v>29</v>
      </c>
      <c r="G364" s="58">
        <v>445813</v>
      </c>
      <c r="H364" s="69">
        <v>45637</v>
      </c>
      <c r="I364" s="88">
        <v>0.23</v>
      </c>
      <c r="J364" s="58">
        <v>883844.94</v>
      </c>
    </row>
    <row r="365" spans="1:10" ht="15">
      <c r="A365" s="58" t="s">
        <v>740</v>
      </c>
      <c r="B365" s="58" t="s">
        <v>804</v>
      </c>
      <c r="C365" s="58" t="s">
        <v>788</v>
      </c>
      <c r="D365" s="58" t="s">
        <v>789</v>
      </c>
      <c r="E365" s="58">
        <v>656087</v>
      </c>
      <c r="F365" s="58">
        <v>24</v>
      </c>
      <c r="G365" s="58">
        <v>135032</v>
      </c>
      <c r="H365" s="69">
        <v>44642</v>
      </c>
      <c r="I365" s="88">
        <v>0.08</v>
      </c>
      <c r="J365" s="58">
        <v>1001404.22</v>
      </c>
    </row>
    <row r="366" spans="1:10" ht="15">
      <c r="A366" s="58" t="s">
        <v>740</v>
      </c>
      <c r="B366" s="58" t="s">
        <v>797</v>
      </c>
      <c r="C366" s="58" t="s">
        <v>795</v>
      </c>
      <c r="D366" s="58" t="s">
        <v>811</v>
      </c>
      <c r="E366" s="58">
        <v>4362049</v>
      </c>
      <c r="F366" s="58">
        <v>53</v>
      </c>
      <c r="G366" s="58">
        <v>36293</v>
      </c>
      <c r="H366" s="69">
        <v>44814</v>
      </c>
      <c r="I366" s="88">
        <v>0.14000000000000001</v>
      </c>
      <c r="J366" s="58">
        <v>1038744.63</v>
      </c>
    </row>
    <row r="367" spans="1:10" ht="15">
      <c r="A367" s="58" t="s">
        <v>741</v>
      </c>
      <c r="B367" s="58" t="s">
        <v>792</v>
      </c>
      <c r="C367" s="58" t="s">
        <v>798</v>
      </c>
      <c r="D367" s="58" t="s">
        <v>803</v>
      </c>
      <c r="E367" s="58">
        <v>1546186</v>
      </c>
      <c r="F367" s="58">
        <v>56</v>
      </c>
      <c r="G367" s="58">
        <v>376115</v>
      </c>
      <c r="H367" s="69">
        <v>44989</v>
      </c>
      <c r="I367" s="88">
        <v>0.15</v>
      </c>
      <c r="J367" s="58">
        <v>1468225.55</v>
      </c>
    </row>
    <row r="368" spans="1:10" ht="15">
      <c r="A368" s="58" t="s">
        <v>744</v>
      </c>
      <c r="B368" s="58" t="s">
        <v>808</v>
      </c>
      <c r="C368" s="58" t="s">
        <v>799</v>
      </c>
      <c r="D368" s="58" t="s">
        <v>815</v>
      </c>
      <c r="E368" s="58">
        <v>258391</v>
      </c>
      <c r="F368" s="58">
        <v>57</v>
      </c>
      <c r="G368" s="58">
        <v>92970</v>
      </c>
      <c r="H368" s="69">
        <v>45538</v>
      </c>
      <c r="I368" s="88">
        <v>0.39</v>
      </c>
      <c r="J368" s="58">
        <v>2934268.47</v>
      </c>
    </row>
    <row r="369" spans="1:10" ht="15">
      <c r="A369" s="58" t="s">
        <v>749</v>
      </c>
      <c r="B369" s="58" t="s">
        <v>809</v>
      </c>
      <c r="C369" s="58" t="s">
        <v>807</v>
      </c>
      <c r="D369" s="58" t="s">
        <v>806</v>
      </c>
      <c r="E369" s="58">
        <v>4566084</v>
      </c>
      <c r="F369" s="58">
        <v>83</v>
      </c>
      <c r="G369" s="58">
        <v>153791</v>
      </c>
      <c r="H369" s="69">
        <v>44793</v>
      </c>
      <c r="I369" s="88">
        <v>0.02</v>
      </c>
      <c r="J369" s="58">
        <v>2789066.28</v>
      </c>
    </row>
    <row r="370" spans="1:10" ht="15">
      <c r="A370" s="58" t="s">
        <v>742</v>
      </c>
      <c r="B370" s="58" t="s">
        <v>802</v>
      </c>
      <c r="C370" s="58" t="s">
        <v>799</v>
      </c>
      <c r="D370" s="58" t="s">
        <v>791</v>
      </c>
      <c r="E370" s="58">
        <v>3114960</v>
      </c>
      <c r="F370" s="58">
        <v>85</v>
      </c>
      <c r="G370" s="58">
        <v>141387</v>
      </c>
      <c r="H370" s="69">
        <v>44691</v>
      </c>
      <c r="I370" s="88">
        <v>0.03</v>
      </c>
      <c r="J370" s="58">
        <v>1761474.06</v>
      </c>
    </row>
    <row r="371" spans="1:10" ht="15">
      <c r="A371" s="58" t="s">
        <v>747</v>
      </c>
      <c r="B371" s="58" t="s">
        <v>802</v>
      </c>
      <c r="C371" s="58" t="s">
        <v>809</v>
      </c>
      <c r="D371" s="58" t="s">
        <v>806</v>
      </c>
      <c r="E371" s="58">
        <v>3211562</v>
      </c>
      <c r="F371" s="58">
        <v>98</v>
      </c>
      <c r="G371" s="58">
        <v>396043</v>
      </c>
      <c r="H371" s="69">
        <v>44979</v>
      </c>
      <c r="I371" s="88">
        <v>0.38</v>
      </c>
      <c r="J371" s="58">
        <v>608127.36</v>
      </c>
    </row>
    <row r="372" spans="1:10" ht="15">
      <c r="A372" s="58" t="s">
        <v>740</v>
      </c>
      <c r="B372" s="58" t="s">
        <v>790</v>
      </c>
      <c r="C372" s="58" t="s">
        <v>798</v>
      </c>
      <c r="D372" s="58" t="s">
        <v>791</v>
      </c>
      <c r="E372" s="58">
        <v>1902944</v>
      </c>
      <c r="F372" s="58">
        <v>91</v>
      </c>
      <c r="G372" s="58">
        <v>283574</v>
      </c>
      <c r="H372" s="69">
        <v>44928</v>
      </c>
      <c r="I372" s="88">
        <v>0.42</v>
      </c>
      <c r="J372" s="58">
        <v>2248335.0299999998</v>
      </c>
    </row>
    <row r="373" spans="1:10" ht="15">
      <c r="A373" s="58" t="s">
        <v>743</v>
      </c>
      <c r="B373" s="58" t="s">
        <v>792</v>
      </c>
      <c r="C373" s="58" t="s">
        <v>795</v>
      </c>
      <c r="D373" s="58" t="s">
        <v>815</v>
      </c>
      <c r="E373" s="58">
        <v>1291083</v>
      </c>
      <c r="F373" s="58">
        <v>65</v>
      </c>
      <c r="G373" s="58">
        <v>478969</v>
      </c>
      <c r="H373" s="69">
        <v>44985</v>
      </c>
      <c r="I373" s="88">
        <v>0.43</v>
      </c>
      <c r="J373" s="58">
        <v>2171441.86</v>
      </c>
    </row>
    <row r="374" spans="1:10" ht="15">
      <c r="A374" s="58" t="s">
        <v>748</v>
      </c>
      <c r="B374" s="58" t="s">
        <v>809</v>
      </c>
      <c r="C374" s="58" t="s">
        <v>809</v>
      </c>
      <c r="D374" s="58" t="s">
        <v>811</v>
      </c>
      <c r="E374" s="58">
        <v>3962122</v>
      </c>
      <c r="F374" s="58">
        <v>13</v>
      </c>
      <c r="G374" s="58">
        <v>428765</v>
      </c>
      <c r="H374" s="69">
        <v>44584</v>
      </c>
      <c r="I374" s="88">
        <v>0.39</v>
      </c>
      <c r="J374" s="58">
        <v>1078974.1599999999</v>
      </c>
    </row>
    <row r="375" spans="1:10" ht="15">
      <c r="A375" s="58" t="s">
        <v>749</v>
      </c>
      <c r="B375" s="58" t="s">
        <v>809</v>
      </c>
      <c r="C375" s="58" t="s">
        <v>795</v>
      </c>
      <c r="D375" s="58" t="s">
        <v>789</v>
      </c>
      <c r="E375" s="58">
        <v>621552</v>
      </c>
      <c r="F375" s="58">
        <v>90</v>
      </c>
      <c r="G375" s="58">
        <v>430163</v>
      </c>
      <c r="H375" s="69">
        <v>45364</v>
      </c>
      <c r="I375" s="88">
        <v>0.43</v>
      </c>
      <c r="J375" s="58">
        <v>2688309.25</v>
      </c>
    </row>
    <row r="376" spans="1:10" ht="15">
      <c r="A376" s="58" t="s">
        <v>745</v>
      </c>
      <c r="B376" s="58" t="s">
        <v>787</v>
      </c>
      <c r="C376" s="58" t="s">
        <v>798</v>
      </c>
      <c r="D376" s="58" t="s">
        <v>812</v>
      </c>
      <c r="E376" s="58">
        <v>562780</v>
      </c>
      <c r="F376" s="58">
        <v>83</v>
      </c>
      <c r="G376" s="58">
        <v>411016</v>
      </c>
      <c r="H376" s="69">
        <v>45079</v>
      </c>
      <c r="I376" s="88">
        <v>0.12</v>
      </c>
      <c r="J376" s="58">
        <v>860459.56</v>
      </c>
    </row>
    <row r="377" spans="1:10" ht="15">
      <c r="A377" s="58" t="s">
        <v>740</v>
      </c>
      <c r="B377" s="58" t="s">
        <v>808</v>
      </c>
      <c r="C377" s="58" t="s">
        <v>807</v>
      </c>
      <c r="D377" s="58" t="s">
        <v>812</v>
      </c>
      <c r="E377" s="58">
        <v>2980128</v>
      </c>
      <c r="F377" s="58">
        <v>16</v>
      </c>
      <c r="G377" s="58">
        <v>277282</v>
      </c>
      <c r="H377" s="69">
        <v>45378</v>
      </c>
      <c r="I377" s="88">
        <v>0.25</v>
      </c>
      <c r="J377" s="58">
        <v>826377.33</v>
      </c>
    </row>
    <row r="378" spans="1:10" ht="15">
      <c r="A378" s="58" t="s">
        <v>744</v>
      </c>
      <c r="B378" s="58" t="s">
        <v>802</v>
      </c>
      <c r="C378" s="58" t="s">
        <v>798</v>
      </c>
      <c r="D378" s="58" t="s">
        <v>811</v>
      </c>
      <c r="E378" s="58">
        <v>1457778</v>
      </c>
      <c r="F378" s="58">
        <v>87</v>
      </c>
      <c r="G378" s="58">
        <v>95445</v>
      </c>
      <c r="H378" s="69">
        <v>44615</v>
      </c>
      <c r="I378" s="88">
        <v>0.25</v>
      </c>
      <c r="J378" s="58">
        <v>2279454.87</v>
      </c>
    </row>
    <row r="379" spans="1:10" ht="15">
      <c r="A379" s="58" t="s">
        <v>745</v>
      </c>
      <c r="B379" s="58" t="s">
        <v>802</v>
      </c>
      <c r="C379" s="58" t="s">
        <v>807</v>
      </c>
      <c r="D379" s="58" t="s">
        <v>812</v>
      </c>
      <c r="E379" s="58">
        <v>1351898</v>
      </c>
      <c r="F379" s="58">
        <v>52</v>
      </c>
      <c r="G379" s="58">
        <v>448513</v>
      </c>
      <c r="H379" s="69">
        <v>44686</v>
      </c>
      <c r="I379" s="88">
        <v>0.1</v>
      </c>
      <c r="J379" s="58">
        <v>3103119</v>
      </c>
    </row>
    <row r="380" spans="1:10" ht="15">
      <c r="A380" s="58" t="s">
        <v>740</v>
      </c>
      <c r="B380" s="58" t="s">
        <v>808</v>
      </c>
      <c r="C380" s="58" t="s">
        <v>798</v>
      </c>
      <c r="D380" s="58" t="s">
        <v>796</v>
      </c>
      <c r="E380" s="58">
        <v>518470</v>
      </c>
      <c r="F380" s="58">
        <v>78</v>
      </c>
      <c r="G380" s="58">
        <v>102630</v>
      </c>
      <c r="H380" s="69">
        <v>44816</v>
      </c>
      <c r="I380" s="88">
        <v>0.2</v>
      </c>
      <c r="J380" s="58">
        <v>3875436.64</v>
      </c>
    </row>
    <row r="381" spans="1:10" ht="15">
      <c r="A381" s="58" t="s">
        <v>748</v>
      </c>
      <c r="B381" s="58" t="s">
        <v>804</v>
      </c>
      <c r="C381" s="58" t="s">
        <v>788</v>
      </c>
      <c r="D381" s="58" t="s">
        <v>811</v>
      </c>
      <c r="E381" s="58">
        <v>1901095</v>
      </c>
      <c r="F381" s="58">
        <v>58</v>
      </c>
      <c r="G381" s="58">
        <v>498772</v>
      </c>
      <c r="H381" s="69">
        <v>44661</v>
      </c>
      <c r="I381" s="88">
        <v>0.35</v>
      </c>
      <c r="J381" s="58">
        <v>36940.28</v>
      </c>
    </row>
    <row r="382" spans="1:10" ht="15">
      <c r="A382" s="58" t="s">
        <v>742</v>
      </c>
      <c r="B382" s="58" t="s">
        <v>790</v>
      </c>
      <c r="C382" s="58" t="s">
        <v>799</v>
      </c>
      <c r="D382" s="58" t="s">
        <v>796</v>
      </c>
      <c r="E382" s="58">
        <v>786215</v>
      </c>
      <c r="F382" s="58">
        <v>100</v>
      </c>
      <c r="G382" s="58">
        <v>370405</v>
      </c>
      <c r="H382" s="69">
        <v>44696</v>
      </c>
      <c r="I382" s="88">
        <v>0.37</v>
      </c>
      <c r="J382" s="58">
        <v>320410.2</v>
      </c>
    </row>
    <row r="383" spans="1:10" ht="15">
      <c r="A383" s="58" t="s">
        <v>742</v>
      </c>
      <c r="B383" s="58" t="s">
        <v>804</v>
      </c>
      <c r="C383" s="58" t="s">
        <v>795</v>
      </c>
      <c r="D383" s="58" t="s">
        <v>806</v>
      </c>
      <c r="E383" s="58">
        <v>495189</v>
      </c>
      <c r="F383" s="58">
        <v>76</v>
      </c>
      <c r="G383" s="58">
        <v>384445</v>
      </c>
      <c r="H383" s="69">
        <v>45618</v>
      </c>
      <c r="I383" s="88">
        <v>0.09</v>
      </c>
      <c r="J383" s="58">
        <v>314038.68</v>
      </c>
    </row>
    <row r="384" spans="1:10" ht="15">
      <c r="A384" s="58" t="s">
        <v>744</v>
      </c>
      <c r="B384" s="58" t="s">
        <v>792</v>
      </c>
      <c r="C384" s="58" t="s">
        <v>798</v>
      </c>
      <c r="D384" s="58" t="s">
        <v>815</v>
      </c>
      <c r="E384" s="58">
        <v>1274391</v>
      </c>
      <c r="F384" s="58">
        <v>33</v>
      </c>
      <c r="G384" s="58">
        <v>66782</v>
      </c>
      <c r="H384" s="69">
        <v>45144</v>
      </c>
      <c r="I384" s="88">
        <v>0.4</v>
      </c>
      <c r="J384" s="58">
        <v>4377237.0999999996</v>
      </c>
    </row>
    <row r="385" spans="1:10" ht="15">
      <c r="A385" s="58" t="s">
        <v>746</v>
      </c>
      <c r="B385" s="58" t="s">
        <v>804</v>
      </c>
      <c r="C385" s="58" t="s">
        <v>799</v>
      </c>
      <c r="D385" s="58" t="s">
        <v>806</v>
      </c>
      <c r="E385" s="58">
        <v>298403</v>
      </c>
      <c r="F385" s="58">
        <v>55</v>
      </c>
      <c r="G385" s="58">
        <v>275447</v>
      </c>
      <c r="H385" s="69">
        <v>44817</v>
      </c>
      <c r="I385" s="88">
        <v>0</v>
      </c>
      <c r="J385" s="58">
        <v>599524.71</v>
      </c>
    </row>
    <row r="386" spans="1:10" ht="15">
      <c r="A386" s="58" t="s">
        <v>743</v>
      </c>
      <c r="B386" s="58" t="s">
        <v>787</v>
      </c>
      <c r="C386" s="58" t="s">
        <v>793</v>
      </c>
      <c r="D386" s="58" t="s">
        <v>811</v>
      </c>
      <c r="E386" s="58">
        <v>4198709</v>
      </c>
      <c r="F386" s="58">
        <v>99</v>
      </c>
      <c r="G386" s="58">
        <v>488205</v>
      </c>
      <c r="H386" s="69">
        <v>44945</v>
      </c>
      <c r="I386" s="88">
        <v>0.3</v>
      </c>
      <c r="J386" s="58">
        <v>493472</v>
      </c>
    </row>
    <row r="387" spans="1:10" ht="15">
      <c r="A387" s="58" t="s">
        <v>743</v>
      </c>
      <c r="B387" s="58" t="s">
        <v>809</v>
      </c>
      <c r="C387" s="58" t="s">
        <v>788</v>
      </c>
      <c r="D387" s="58" t="s">
        <v>810</v>
      </c>
      <c r="E387" s="58">
        <v>4772800</v>
      </c>
      <c r="F387" s="58">
        <v>52</v>
      </c>
      <c r="G387" s="58">
        <v>187090</v>
      </c>
      <c r="H387" s="69">
        <v>44578</v>
      </c>
      <c r="I387" s="88">
        <v>0.49</v>
      </c>
      <c r="J387" s="58">
        <v>2856043.54</v>
      </c>
    </row>
    <row r="388" spans="1:10" ht="15">
      <c r="A388" s="58" t="s">
        <v>749</v>
      </c>
      <c r="B388" s="58" t="s">
        <v>792</v>
      </c>
      <c r="C388" s="58" t="s">
        <v>799</v>
      </c>
      <c r="D388" s="58" t="s">
        <v>805</v>
      </c>
      <c r="E388" s="58">
        <v>3524190</v>
      </c>
      <c r="F388" s="58">
        <v>80</v>
      </c>
      <c r="G388" s="58">
        <v>456843</v>
      </c>
      <c r="H388" s="69">
        <v>44666</v>
      </c>
      <c r="I388" s="88">
        <v>0.1</v>
      </c>
      <c r="J388" s="58">
        <v>2258208.7999999998</v>
      </c>
    </row>
    <row r="389" spans="1:10" ht="15">
      <c r="A389" s="58" t="s">
        <v>741</v>
      </c>
      <c r="B389" s="58" t="s">
        <v>797</v>
      </c>
      <c r="C389" s="58" t="s">
        <v>795</v>
      </c>
      <c r="D389" s="58" t="s">
        <v>805</v>
      </c>
      <c r="E389" s="58">
        <v>917232</v>
      </c>
      <c r="F389" s="58">
        <v>6</v>
      </c>
      <c r="G389" s="58">
        <v>136470</v>
      </c>
      <c r="H389" s="69">
        <v>45497</v>
      </c>
      <c r="I389" s="88">
        <v>0.38</v>
      </c>
      <c r="J389" s="58">
        <v>3364584.44</v>
      </c>
    </row>
    <row r="390" spans="1:10" ht="15">
      <c r="A390" s="58" t="s">
        <v>740</v>
      </c>
      <c r="B390" s="58" t="s">
        <v>790</v>
      </c>
      <c r="C390" s="58" t="s">
        <v>788</v>
      </c>
      <c r="D390" s="58" t="s">
        <v>789</v>
      </c>
      <c r="E390" s="58">
        <v>2833360</v>
      </c>
      <c r="F390" s="58">
        <v>4</v>
      </c>
      <c r="G390" s="58">
        <v>306957</v>
      </c>
      <c r="H390" s="69">
        <v>45479</v>
      </c>
      <c r="I390" s="88">
        <v>0.37</v>
      </c>
      <c r="J390" s="58">
        <v>1658613.74</v>
      </c>
    </row>
    <row r="391" spans="1:10" ht="15">
      <c r="A391" s="58" t="s">
        <v>748</v>
      </c>
      <c r="B391" s="58" t="s">
        <v>794</v>
      </c>
      <c r="C391" s="58" t="s">
        <v>795</v>
      </c>
      <c r="D391" s="58" t="s">
        <v>810</v>
      </c>
      <c r="E391" s="58">
        <v>2898386</v>
      </c>
      <c r="F391" s="58">
        <v>48</v>
      </c>
      <c r="G391" s="58">
        <v>318892</v>
      </c>
      <c r="H391" s="69">
        <v>45514</v>
      </c>
      <c r="I391" s="88">
        <v>0.2</v>
      </c>
      <c r="J391" s="58">
        <v>2734682.72</v>
      </c>
    </row>
    <row r="392" spans="1:10" ht="15">
      <c r="A392" s="58" t="s">
        <v>744</v>
      </c>
      <c r="B392" s="58" t="s">
        <v>790</v>
      </c>
      <c r="C392" s="58" t="s">
        <v>788</v>
      </c>
      <c r="D392" s="58" t="s">
        <v>803</v>
      </c>
      <c r="E392" s="58">
        <v>3348747</v>
      </c>
      <c r="F392" s="58">
        <v>36</v>
      </c>
      <c r="G392" s="58">
        <v>132005</v>
      </c>
      <c r="H392" s="69">
        <v>44866</v>
      </c>
      <c r="I392" s="88">
        <v>0.44</v>
      </c>
      <c r="J392" s="58">
        <v>889791.98</v>
      </c>
    </row>
    <row r="393" spans="1:10" ht="15">
      <c r="A393" s="58" t="s">
        <v>743</v>
      </c>
      <c r="B393" s="58" t="s">
        <v>794</v>
      </c>
      <c r="C393" s="58" t="s">
        <v>809</v>
      </c>
      <c r="D393" s="58" t="s">
        <v>800</v>
      </c>
      <c r="E393" s="58">
        <v>485296</v>
      </c>
      <c r="F393" s="58">
        <v>92</v>
      </c>
      <c r="G393" s="58">
        <v>15535</v>
      </c>
      <c r="H393" s="69">
        <v>45009</v>
      </c>
      <c r="I393" s="88">
        <v>0.49</v>
      </c>
      <c r="J393" s="58">
        <v>1448163.14</v>
      </c>
    </row>
    <row r="394" spans="1:10" ht="15">
      <c r="A394" s="58" t="s">
        <v>746</v>
      </c>
      <c r="B394" s="58" t="s">
        <v>802</v>
      </c>
      <c r="C394" s="58" t="s">
        <v>809</v>
      </c>
      <c r="D394" s="58" t="s">
        <v>812</v>
      </c>
      <c r="E394" s="58">
        <v>4953431</v>
      </c>
      <c r="F394" s="58">
        <v>1</v>
      </c>
      <c r="G394" s="58">
        <v>440170</v>
      </c>
      <c r="H394" s="69">
        <v>45360</v>
      </c>
      <c r="I394" s="88">
        <v>0.28000000000000003</v>
      </c>
      <c r="J394" s="58">
        <v>2039513.77</v>
      </c>
    </row>
    <row r="395" spans="1:10" ht="15">
      <c r="A395" s="58" t="s">
        <v>749</v>
      </c>
      <c r="B395" s="58" t="s">
        <v>792</v>
      </c>
      <c r="C395" s="58" t="s">
        <v>807</v>
      </c>
      <c r="D395" s="58" t="s">
        <v>796</v>
      </c>
      <c r="E395" s="58">
        <v>2656052</v>
      </c>
      <c r="F395" s="58">
        <v>18</v>
      </c>
      <c r="G395" s="58">
        <v>463387</v>
      </c>
      <c r="H395" s="69">
        <v>44669</v>
      </c>
      <c r="I395" s="88">
        <v>0.38</v>
      </c>
      <c r="J395" s="58">
        <v>1760643.84</v>
      </c>
    </row>
    <row r="396" spans="1:10" ht="15">
      <c r="A396" s="58" t="s">
        <v>747</v>
      </c>
      <c r="B396" s="58" t="s">
        <v>794</v>
      </c>
      <c r="C396" s="58" t="s">
        <v>788</v>
      </c>
      <c r="D396" s="58" t="s">
        <v>789</v>
      </c>
      <c r="E396" s="58">
        <v>2807148</v>
      </c>
      <c r="F396" s="58">
        <v>73</v>
      </c>
      <c r="G396" s="58">
        <v>444026</v>
      </c>
      <c r="H396" s="69">
        <v>45181</v>
      </c>
      <c r="I396" s="88">
        <v>0.16</v>
      </c>
      <c r="J396" s="58">
        <v>3395475.28</v>
      </c>
    </row>
    <row r="397" spans="1:10" ht="15">
      <c r="A397" s="58" t="s">
        <v>745</v>
      </c>
      <c r="B397" s="58" t="s">
        <v>809</v>
      </c>
      <c r="C397" s="58" t="s">
        <v>799</v>
      </c>
      <c r="D397" s="58" t="s">
        <v>811</v>
      </c>
      <c r="E397" s="58">
        <v>2150210</v>
      </c>
      <c r="F397" s="58">
        <v>29</v>
      </c>
      <c r="G397" s="58">
        <v>16889</v>
      </c>
      <c r="H397" s="69">
        <v>45294</v>
      </c>
      <c r="I397" s="88">
        <v>0.09</v>
      </c>
      <c r="J397" s="58">
        <v>2816084.25</v>
      </c>
    </row>
    <row r="398" spans="1:10" ht="15">
      <c r="A398" s="58" t="s">
        <v>741</v>
      </c>
      <c r="B398" s="58" t="s">
        <v>814</v>
      </c>
      <c r="C398" s="58" t="s">
        <v>809</v>
      </c>
      <c r="D398" s="58" t="s">
        <v>813</v>
      </c>
      <c r="E398" s="58">
        <v>4780192</v>
      </c>
      <c r="F398" s="58">
        <v>51</v>
      </c>
      <c r="G398" s="58">
        <v>249280</v>
      </c>
      <c r="H398" s="69">
        <v>45049</v>
      </c>
      <c r="I398" s="88">
        <v>0.34</v>
      </c>
      <c r="J398" s="58">
        <v>1056003.96</v>
      </c>
    </row>
    <row r="399" spans="1:10" ht="15">
      <c r="A399" s="58" t="s">
        <v>746</v>
      </c>
      <c r="B399" s="58" t="s">
        <v>790</v>
      </c>
      <c r="C399" s="58" t="s">
        <v>807</v>
      </c>
      <c r="D399" s="58" t="s">
        <v>812</v>
      </c>
      <c r="E399" s="58">
        <v>4256553</v>
      </c>
      <c r="F399" s="58">
        <v>62</v>
      </c>
      <c r="G399" s="58">
        <v>82773</v>
      </c>
      <c r="H399" s="69">
        <v>45570</v>
      </c>
      <c r="I399" s="88">
        <v>0.26</v>
      </c>
      <c r="J399" s="58">
        <v>229229.6</v>
      </c>
    </row>
    <row r="400" spans="1:10" ht="15">
      <c r="A400" s="58" t="s">
        <v>747</v>
      </c>
      <c r="B400" s="58" t="s">
        <v>804</v>
      </c>
      <c r="C400" s="58" t="s">
        <v>795</v>
      </c>
      <c r="D400" s="58" t="s">
        <v>813</v>
      </c>
      <c r="E400" s="58">
        <v>4767263</v>
      </c>
      <c r="F400" s="58">
        <v>33</v>
      </c>
      <c r="G400" s="58">
        <v>476210</v>
      </c>
      <c r="H400" s="69">
        <v>44724</v>
      </c>
      <c r="I400" s="88">
        <v>0.39</v>
      </c>
      <c r="J400" s="58">
        <v>1379070.5</v>
      </c>
    </row>
    <row r="401" spans="1:10" ht="15">
      <c r="A401" s="58" t="s">
        <v>747</v>
      </c>
      <c r="B401" s="58" t="s">
        <v>792</v>
      </c>
      <c r="C401" s="58" t="s">
        <v>807</v>
      </c>
      <c r="D401" s="58" t="s">
        <v>800</v>
      </c>
      <c r="E401" s="58">
        <v>1300919</v>
      </c>
      <c r="F401" s="58">
        <v>73</v>
      </c>
      <c r="G401" s="58">
        <v>37514</v>
      </c>
      <c r="H401" s="69">
        <v>45340</v>
      </c>
      <c r="I401" s="88">
        <v>0.4</v>
      </c>
      <c r="J401" s="58">
        <v>161088</v>
      </c>
    </row>
    <row r="402" spans="1:10" ht="15">
      <c r="A402" s="58" t="s">
        <v>749</v>
      </c>
      <c r="B402" s="58" t="s">
        <v>787</v>
      </c>
      <c r="C402" s="58" t="s">
        <v>799</v>
      </c>
      <c r="D402" s="58" t="s">
        <v>812</v>
      </c>
      <c r="E402" s="58">
        <v>1784771</v>
      </c>
      <c r="F402" s="58">
        <v>56</v>
      </c>
      <c r="G402" s="58">
        <v>71553</v>
      </c>
      <c r="H402" s="69">
        <v>45200</v>
      </c>
      <c r="I402" s="88">
        <v>0.25</v>
      </c>
      <c r="J402" s="58">
        <v>3147610.72</v>
      </c>
    </row>
    <row r="403" spans="1:10" ht="15">
      <c r="A403" s="58" t="s">
        <v>743</v>
      </c>
      <c r="B403" s="58" t="s">
        <v>808</v>
      </c>
      <c r="C403" s="58" t="s">
        <v>788</v>
      </c>
      <c r="D403" s="58" t="s">
        <v>811</v>
      </c>
      <c r="E403" s="58">
        <v>3559409</v>
      </c>
      <c r="F403" s="58">
        <v>9</v>
      </c>
      <c r="G403" s="58">
        <v>497114</v>
      </c>
      <c r="H403" s="69">
        <v>45161</v>
      </c>
      <c r="I403" s="88">
        <v>0.39</v>
      </c>
      <c r="J403" s="58">
        <v>2299937.7599999998</v>
      </c>
    </row>
    <row r="404" spans="1:10" ht="15">
      <c r="A404" s="58" t="s">
        <v>740</v>
      </c>
      <c r="B404" s="58" t="s">
        <v>808</v>
      </c>
      <c r="C404" s="58" t="s">
        <v>795</v>
      </c>
      <c r="D404" s="58" t="s">
        <v>803</v>
      </c>
      <c r="E404" s="58">
        <v>4846328</v>
      </c>
      <c r="F404" s="58">
        <v>38</v>
      </c>
      <c r="G404" s="58">
        <v>277013</v>
      </c>
      <c r="H404" s="69">
        <v>44623</v>
      </c>
      <c r="I404" s="88">
        <v>0.17</v>
      </c>
      <c r="J404" s="58">
        <v>2490723.2000000002</v>
      </c>
    </row>
    <row r="405" spans="1:10" ht="15">
      <c r="A405" s="58" t="s">
        <v>749</v>
      </c>
      <c r="B405" s="58" t="s">
        <v>797</v>
      </c>
      <c r="C405" s="58" t="s">
        <v>809</v>
      </c>
      <c r="D405" s="58" t="s">
        <v>803</v>
      </c>
      <c r="E405" s="58">
        <v>1171669</v>
      </c>
      <c r="F405" s="58">
        <v>32</v>
      </c>
      <c r="G405" s="58">
        <v>303492</v>
      </c>
      <c r="H405" s="69">
        <v>45292</v>
      </c>
      <c r="I405" s="88">
        <v>0.18</v>
      </c>
      <c r="J405" s="58">
        <v>3449165.4</v>
      </c>
    </row>
    <row r="406" spans="1:10" ht="15">
      <c r="A406" s="58" t="s">
        <v>743</v>
      </c>
      <c r="B406" s="58" t="s">
        <v>787</v>
      </c>
      <c r="C406" s="58" t="s">
        <v>788</v>
      </c>
      <c r="D406" s="58" t="s">
        <v>789</v>
      </c>
      <c r="E406" s="58">
        <v>3061892</v>
      </c>
      <c r="F406" s="58">
        <v>9</v>
      </c>
      <c r="G406" s="58">
        <v>448335</v>
      </c>
      <c r="H406" s="69">
        <v>45408</v>
      </c>
      <c r="I406" s="88">
        <v>0.41</v>
      </c>
      <c r="J406" s="58">
        <v>572004</v>
      </c>
    </row>
    <row r="407" spans="1:10" ht="15">
      <c r="A407" s="58" t="s">
        <v>742</v>
      </c>
      <c r="B407" s="58" t="s">
        <v>792</v>
      </c>
      <c r="C407" s="58" t="s">
        <v>807</v>
      </c>
      <c r="D407" s="58" t="s">
        <v>812</v>
      </c>
      <c r="E407" s="58">
        <v>4950050</v>
      </c>
      <c r="F407" s="58">
        <v>53</v>
      </c>
      <c r="G407" s="58">
        <v>122943</v>
      </c>
      <c r="H407" s="69">
        <v>45080</v>
      </c>
      <c r="I407" s="88">
        <v>0.03</v>
      </c>
      <c r="J407" s="58">
        <v>1426236.9</v>
      </c>
    </row>
    <row r="408" spans="1:10" ht="15">
      <c r="A408" s="58" t="s">
        <v>747</v>
      </c>
      <c r="B408" s="58" t="s">
        <v>808</v>
      </c>
      <c r="C408" s="58" t="s">
        <v>793</v>
      </c>
      <c r="D408" s="58" t="s">
        <v>812</v>
      </c>
      <c r="E408" s="58">
        <v>336413</v>
      </c>
      <c r="F408" s="58">
        <v>34</v>
      </c>
      <c r="G408" s="58">
        <v>322004</v>
      </c>
      <c r="H408" s="69">
        <v>45019</v>
      </c>
      <c r="I408" s="88">
        <v>0.26</v>
      </c>
      <c r="J408" s="58">
        <v>407099.1</v>
      </c>
    </row>
    <row r="409" spans="1:10" ht="15">
      <c r="A409" s="58" t="s">
        <v>748</v>
      </c>
      <c r="B409" s="58" t="s">
        <v>792</v>
      </c>
      <c r="C409" s="58" t="s">
        <v>788</v>
      </c>
      <c r="D409" s="58" t="s">
        <v>789</v>
      </c>
      <c r="E409" s="58">
        <v>2620778</v>
      </c>
      <c r="F409" s="58">
        <v>14</v>
      </c>
      <c r="G409" s="58">
        <v>254155</v>
      </c>
      <c r="H409" s="69">
        <v>44624</v>
      </c>
      <c r="I409" s="88">
        <v>0.04</v>
      </c>
      <c r="J409" s="58">
        <v>2568418.2000000002</v>
      </c>
    </row>
    <row r="410" spans="1:10" ht="15">
      <c r="A410" s="58" t="s">
        <v>740</v>
      </c>
      <c r="B410" s="58" t="s">
        <v>814</v>
      </c>
      <c r="C410" s="58" t="s">
        <v>809</v>
      </c>
      <c r="D410" s="58" t="s">
        <v>800</v>
      </c>
      <c r="E410" s="58">
        <v>4395598</v>
      </c>
      <c r="F410" s="58">
        <v>66</v>
      </c>
      <c r="G410" s="58">
        <v>499429</v>
      </c>
      <c r="H410" s="69">
        <v>45588</v>
      </c>
      <c r="I410" s="88">
        <v>0.01</v>
      </c>
      <c r="J410" s="58">
        <v>1779583.68</v>
      </c>
    </row>
    <row r="411" spans="1:10" ht="15">
      <c r="A411" s="58" t="s">
        <v>743</v>
      </c>
      <c r="B411" s="58" t="s">
        <v>804</v>
      </c>
      <c r="C411" s="58" t="s">
        <v>795</v>
      </c>
      <c r="D411" s="58" t="s">
        <v>815</v>
      </c>
      <c r="E411" s="58">
        <v>3894271</v>
      </c>
      <c r="F411" s="58">
        <v>45</v>
      </c>
      <c r="G411" s="58">
        <v>15682</v>
      </c>
      <c r="H411" s="69">
        <v>45421</v>
      </c>
      <c r="I411" s="88">
        <v>0.4</v>
      </c>
      <c r="J411" s="58">
        <v>2768882.46</v>
      </c>
    </row>
    <row r="412" spans="1:10" ht="15">
      <c r="A412" s="58" t="s">
        <v>742</v>
      </c>
      <c r="B412" s="58" t="s">
        <v>814</v>
      </c>
      <c r="C412" s="58" t="s">
        <v>807</v>
      </c>
      <c r="D412" s="58" t="s">
        <v>801</v>
      </c>
      <c r="E412" s="58">
        <v>2781781</v>
      </c>
      <c r="F412" s="58">
        <v>86</v>
      </c>
      <c r="G412" s="58">
        <v>47575</v>
      </c>
      <c r="H412" s="69">
        <v>44722</v>
      </c>
      <c r="I412" s="88">
        <v>0.41</v>
      </c>
      <c r="J412" s="58">
        <v>1883027.63</v>
      </c>
    </row>
    <row r="413" spans="1:10" ht="15">
      <c r="A413" s="58" t="s">
        <v>744</v>
      </c>
      <c r="B413" s="58" t="s">
        <v>794</v>
      </c>
      <c r="C413" s="58" t="s">
        <v>799</v>
      </c>
      <c r="D413" s="58" t="s">
        <v>805</v>
      </c>
      <c r="E413" s="58">
        <v>3274235</v>
      </c>
      <c r="F413" s="58">
        <v>94</v>
      </c>
      <c r="G413" s="58">
        <v>311964</v>
      </c>
      <c r="H413" s="69">
        <v>44999</v>
      </c>
      <c r="I413" s="88">
        <v>0.24</v>
      </c>
      <c r="J413" s="58">
        <v>2580848</v>
      </c>
    </row>
    <row r="414" spans="1:10" ht="15">
      <c r="A414" s="58" t="s">
        <v>748</v>
      </c>
      <c r="B414" s="58" t="s">
        <v>797</v>
      </c>
      <c r="C414" s="58" t="s">
        <v>798</v>
      </c>
      <c r="D414" s="58" t="s">
        <v>805</v>
      </c>
      <c r="E414" s="58">
        <v>4892888</v>
      </c>
      <c r="F414" s="58">
        <v>22</v>
      </c>
      <c r="G414" s="58">
        <v>80823</v>
      </c>
      <c r="H414" s="69">
        <v>44951</v>
      </c>
      <c r="I414" s="88">
        <v>0.46</v>
      </c>
      <c r="J414" s="58">
        <v>1513268.46</v>
      </c>
    </row>
    <row r="415" spans="1:10" ht="15">
      <c r="A415" s="58" t="s">
        <v>744</v>
      </c>
      <c r="B415" s="58" t="s">
        <v>804</v>
      </c>
      <c r="C415" s="58" t="s">
        <v>798</v>
      </c>
      <c r="D415" s="58" t="s">
        <v>796</v>
      </c>
      <c r="E415" s="58">
        <v>2768108</v>
      </c>
      <c r="F415" s="58">
        <v>53</v>
      </c>
      <c r="G415" s="58">
        <v>299894</v>
      </c>
      <c r="H415" s="69">
        <v>45444</v>
      </c>
      <c r="I415" s="88">
        <v>0.3</v>
      </c>
      <c r="J415" s="58">
        <v>2389628.2400000002</v>
      </c>
    </row>
    <row r="416" spans="1:10" ht="15">
      <c r="A416" s="58" t="s">
        <v>749</v>
      </c>
      <c r="B416" s="58" t="s">
        <v>808</v>
      </c>
      <c r="C416" s="58" t="s">
        <v>788</v>
      </c>
      <c r="D416" s="58" t="s">
        <v>796</v>
      </c>
      <c r="E416" s="58">
        <v>4998864</v>
      </c>
      <c r="F416" s="58">
        <v>97</v>
      </c>
      <c r="G416" s="58">
        <v>155150</v>
      </c>
      <c r="H416" s="69">
        <v>44965</v>
      </c>
      <c r="I416" s="88">
        <v>0.12</v>
      </c>
      <c r="J416" s="58">
        <v>444298.23</v>
      </c>
    </row>
    <row r="417" spans="1:10" ht="15">
      <c r="A417" s="58" t="s">
        <v>741</v>
      </c>
      <c r="B417" s="58" t="s">
        <v>792</v>
      </c>
      <c r="C417" s="58" t="s">
        <v>809</v>
      </c>
      <c r="D417" s="58" t="s">
        <v>812</v>
      </c>
      <c r="E417" s="58">
        <v>4355262</v>
      </c>
      <c r="F417" s="58">
        <v>46</v>
      </c>
      <c r="G417" s="58">
        <v>154094</v>
      </c>
      <c r="H417" s="69">
        <v>45392</v>
      </c>
      <c r="I417" s="88">
        <v>0.25</v>
      </c>
      <c r="J417" s="58">
        <v>581452.19999999995</v>
      </c>
    </row>
    <row r="418" spans="1:10" ht="15">
      <c r="A418" s="58" t="s">
        <v>746</v>
      </c>
      <c r="B418" s="58" t="s">
        <v>792</v>
      </c>
      <c r="C418" s="58" t="s">
        <v>793</v>
      </c>
      <c r="D418" s="58" t="s">
        <v>811</v>
      </c>
      <c r="E418" s="58">
        <v>2178885</v>
      </c>
      <c r="F418" s="58">
        <v>47</v>
      </c>
      <c r="G418" s="58">
        <v>464162</v>
      </c>
      <c r="H418" s="69">
        <v>44570</v>
      </c>
      <c r="I418" s="88">
        <v>0.46</v>
      </c>
      <c r="J418" s="58">
        <v>2572062.2000000002</v>
      </c>
    </row>
    <row r="419" spans="1:10" ht="15">
      <c r="A419" s="58" t="s">
        <v>744</v>
      </c>
      <c r="B419" s="58" t="s">
        <v>792</v>
      </c>
      <c r="C419" s="58" t="s">
        <v>809</v>
      </c>
      <c r="D419" s="58" t="s">
        <v>812</v>
      </c>
      <c r="E419" s="58">
        <v>1356091</v>
      </c>
      <c r="F419" s="58">
        <v>31</v>
      </c>
      <c r="G419" s="58">
        <v>258938</v>
      </c>
      <c r="H419" s="69">
        <v>44824</v>
      </c>
      <c r="I419" s="88">
        <v>0.28000000000000003</v>
      </c>
      <c r="J419" s="58">
        <v>3654235.13</v>
      </c>
    </row>
    <row r="420" spans="1:10" ht="15">
      <c r="A420" s="58" t="s">
        <v>746</v>
      </c>
      <c r="B420" s="58" t="s">
        <v>814</v>
      </c>
      <c r="C420" s="58" t="s">
        <v>788</v>
      </c>
      <c r="D420" s="58" t="s">
        <v>803</v>
      </c>
      <c r="E420" s="58">
        <v>2587435</v>
      </c>
      <c r="F420" s="58">
        <v>59</v>
      </c>
      <c r="G420" s="58">
        <v>298348</v>
      </c>
      <c r="H420" s="69">
        <v>44856</v>
      </c>
      <c r="I420" s="88">
        <v>0.03</v>
      </c>
      <c r="J420" s="58">
        <v>4658526.04</v>
      </c>
    </row>
    <row r="421" spans="1:10" ht="15">
      <c r="A421" s="58" t="s">
        <v>741</v>
      </c>
      <c r="B421" s="58" t="s">
        <v>809</v>
      </c>
      <c r="C421" s="58" t="s">
        <v>807</v>
      </c>
      <c r="D421" s="58" t="s">
        <v>789</v>
      </c>
      <c r="E421" s="58">
        <v>430342</v>
      </c>
      <c r="F421" s="58">
        <v>19</v>
      </c>
      <c r="G421" s="58">
        <v>280809</v>
      </c>
      <c r="H421" s="69">
        <v>44679</v>
      </c>
      <c r="I421" s="88">
        <v>0.06</v>
      </c>
      <c r="J421" s="58">
        <v>211945.92</v>
      </c>
    </row>
    <row r="422" spans="1:10" ht="15">
      <c r="A422" s="58" t="s">
        <v>742</v>
      </c>
      <c r="B422" s="58" t="s">
        <v>809</v>
      </c>
      <c r="C422" s="58" t="s">
        <v>793</v>
      </c>
      <c r="D422" s="58" t="s">
        <v>805</v>
      </c>
      <c r="E422" s="58">
        <v>559890</v>
      </c>
      <c r="F422" s="58">
        <v>42</v>
      </c>
      <c r="G422" s="58">
        <v>111030</v>
      </c>
      <c r="H422" s="69">
        <v>45203</v>
      </c>
      <c r="I422" s="88">
        <v>0.15</v>
      </c>
      <c r="J422" s="58">
        <v>1222411</v>
      </c>
    </row>
    <row r="423" spans="1:10" ht="15">
      <c r="A423" s="58" t="s">
        <v>743</v>
      </c>
      <c r="B423" s="58" t="s">
        <v>808</v>
      </c>
      <c r="C423" s="58" t="s">
        <v>799</v>
      </c>
      <c r="D423" s="58" t="s">
        <v>800</v>
      </c>
      <c r="E423" s="58">
        <v>320859</v>
      </c>
      <c r="F423" s="58">
        <v>73</v>
      </c>
      <c r="G423" s="58">
        <v>282962</v>
      </c>
      <c r="H423" s="69">
        <v>45296</v>
      </c>
      <c r="I423" s="88">
        <v>0.39</v>
      </c>
      <c r="J423" s="58">
        <v>3025361.98</v>
      </c>
    </row>
    <row r="424" spans="1:10" ht="15">
      <c r="A424" s="58" t="s">
        <v>741</v>
      </c>
      <c r="B424" s="58" t="s">
        <v>808</v>
      </c>
      <c r="C424" s="58" t="s">
        <v>807</v>
      </c>
      <c r="D424" s="58" t="s">
        <v>803</v>
      </c>
      <c r="E424" s="58">
        <v>1017166</v>
      </c>
      <c r="F424" s="58">
        <v>7</v>
      </c>
      <c r="G424" s="58">
        <v>482751</v>
      </c>
      <c r="H424" s="69">
        <v>45453</v>
      </c>
      <c r="I424" s="88">
        <v>0.21</v>
      </c>
      <c r="J424" s="58">
        <v>2999627.25</v>
      </c>
    </row>
    <row r="425" spans="1:10" ht="15">
      <c r="A425" s="58" t="s">
        <v>741</v>
      </c>
      <c r="B425" s="58" t="s">
        <v>790</v>
      </c>
      <c r="C425" s="58" t="s">
        <v>809</v>
      </c>
      <c r="D425" s="58" t="s">
        <v>800</v>
      </c>
      <c r="E425" s="58">
        <v>4155592</v>
      </c>
      <c r="F425" s="58">
        <v>83</v>
      </c>
      <c r="G425" s="58">
        <v>58302</v>
      </c>
      <c r="H425" s="69">
        <v>44743</v>
      </c>
      <c r="I425" s="88">
        <v>0.24</v>
      </c>
      <c r="J425" s="58">
        <v>4366400.78</v>
      </c>
    </row>
    <row r="426" spans="1:10" ht="15">
      <c r="A426" s="58" t="s">
        <v>747</v>
      </c>
      <c r="B426" s="58" t="s">
        <v>790</v>
      </c>
      <c r="C426" s="58" t="s">
        <v>807</v>
      </c>
      <c r="D426" s="58" t="s">
        <v>800</v>
      </c>
      <c r="E426" s="58">
        <v>404000</v>
      </c>
      <c r="F426" s="58">
        <v>74</v>
      </c>
      <c r="G426" s="58">
        <v>188483</v>
      </c>
      <c r="H426" s="69">
        <v>45237</v>
      </c>
      <c r="I426" s="88">
        <v>0.27</v>
      </c>
      <c r="J426" s="58">
        <v>1005601.48</v>
      </c>
    </row>
    <row r="427" spans="1:10" ht="15">
      <c r="A427" s="58" t="s">
        <v>746</v>
      </c>
      <c r="B427" s="58" t="s">
        <v>787</v>
      </c>
      <c r="C427" s="58" t="s">
        <v>795</v>
      </c>
      <c r="D427" s="58" t="s">
        <v>813</v>
      </c>
      <c r="E427" s="58">
        <v>3700626</v>
      </c>
      <c r="F427" s="58">
        <v>49</v>
      </c>
      <c r="G427" s="58">
        <v>148450</v>
      </c>
      <c r="H427" s="69">
        <v>44776</v>
      </c>
      <c r="I427" s="88">
        <v>0.4</v>
      </c>
      <c r="J427" s="58">
        <v>985456.29</v>
      </c>
    </row>
    <row r="428" spans="1:10" ht="15">
      <c r="A428" s="58" t="s">
        <v>745</v>
      </c>
      <c r="B428" s="58" t="s">
        <v>814</v>
      </c>
      <c r="C428" s="58" t="s">
        <v>788</v>
      </c>
      <c r="D428" s="58" t="s">
        <v>805</v>
      </c>
      <c r="E428" s="58">
        <v>2114743</v>
      </c>
      <c r="F428" s="58">
        <v>86</v>
      </c>
      <c r="G428" s="58">
        <v>492727</v>
      </c>
      <c r="H428" s="69">
        <v>45225</v>
      </c>
      <c r="I428" s="88">
        <v>0.13</v>
      </c>
      <c r="J428" s="58">
        <v>706734.6</v>
      </c>
    </row>
    <row r="429" spans="1:10" ht="15">
      <c r="A429" s="58" t="s">
        <v>741</v>
      </c>
      <c r="B429" s="58" t="s">
        <v>809</v>
      </c>
      <c r="C429" s="58" t="s">
        <v>809</v>
      </c>
      <c r="D429" s="58" t="s">
        <v>810</v>
      </c>
      <c r="E429" s="58">
        <v>1869975</v>
      </c>
      <c r="F429" s="58">
        <v>36</v>
      </c>
      <c r="G429" s="58">
        <v>462523</v>
      </c>
      <c r="H429" s="69">
        <v>45572</v>
      </c>
      <c r="I429" s="88">
        <v>0.16</v>
      </c>
      <c r="J429" s="58">
        <v>268834.56</v>
      </c>
    </row>
    <row r="430" spans="1:10" ht="15">
      <c r="A430" s="58" t="s">
        <v>745</v>
      </c>
      <c r="B430" s="58" t="s">
        <v>792</v>
      </c>
      <c r="C430" s="58" t="s">
        <v>809</v>
      </c>
      <c r="D430" s="58" t="s">
        <v>813</v>
      </c>
      <c r="E430" s="58">
        <v>2100727</v>
      </c>
      <c r="F430" s="58">
        <v>69</v>
      </c>
      <c r="G430" s="58">
        <v>254134</v>
      </c>
      <c r="H430" s="69">
        <v>44754</v>
      </c>
      <c r="I430" s="88">
        <v>0.47</v>
      </c>
      <c r="J430" s="58">
        <v>412530.03</v>
      </c>
    </row>
    <row r="431" spans="1:10" ht="15">
      <c r="A431" s="58" t="s">
        <v>747</v>
      </c>
      <c r="B431" s="58" t="s">
        <v>797</v>
      </c>
      <c r="C431" s="58" t="s">
        <v>807</v>
      </c>
      <c r="D431" s="58" t="s">
        <v>796</v>
      </c>
      <c r="E431" s="58">
        <v>3843048</v>
      </c>
      <c r="F431" s="58">
        <v>11</v>
      </c>
      <c r="G431" s="58">
        <v>133400</v>
      </c>
      <c r="H431" s="69">
        <v>44909</v>
      </c>
      <c r="I431" s="88">
        <v>0.41</v>
      </c>
      <c r="J431" s="58">
        <v>157448.12</v>
      </c>
    </row>
    <row r="432" spans="1:10" ht="15">
      <c r="A432" s="58" t="s">
        <v>742</v>
      </c>
      <c r="B432" s="58" t="s">
        <v>809</v>
      </c>
      <c r="C432" s="58" t="s">
        <v>798</v>
      </c>
      <c r="D432" s="58" t="s">
        <v>800</v>
      </c>
      <c r="E432" s="58">
        <v>581968</v>
      </c>
      <c r="F432" s="58">
        <v>34</v>
      </c>
      <c r="G432" s="58">
        <v>484772</v>
      </c>
      <c r="H432" s="69">
        <v>45524</v>
      </c>
      <c r="I432" s="88">
        <v>0.06</v>
      </c>
      <c r="J432" s="58">
        <v>994590.21</v>
      </c>
    </row>
    <row r="433" spans="1:10" ht="15">
      <c r="A433" s="58" t="s">
        <v>748</v>
      </c>
      <c r="B433" s="58" t="s">
        <v>792</v>
      </c>
      <c r="C433" s="58" t="s">
        <v>788</v>
      </c>
      <c r="D433" s="58" t="s">
        <v>796</v>
      </c>
      <c r="E433" s="58">
        <v>4337794</v>
      </c>
      <c r="F433" s="58">
        <v>78</v>
      </c>
      <c r="G433" s="58">
        <v>344584</v>
      </c>
      <c r="H433" s="69">
        <v>45474</v>
      </c>
      <c r="I433" s="88">
        <v>0.1</v>
      </c>
      <c r="J433" s="58">
        <v>2675842.4700000002</v>
      </c>
    </row>
    <row r="434" spans="1:10" ht="15">
      <c r="A434" s="58" t="s">
        <v>746</v>
      </c>
      <c r="B434" s="58" t="s">
        <v>808</v>
      </c>
      <c r="C434" s="58" t="s">
        <v>788</v>
      </c>
      <c r="D434" s="58" t="s">
        <v>791</v>
      </c>
      <c r="E434" s="58">
        <v>4396047</v>
      </c>
      <c r="F434" s="58">
        <v>32</v>
      </c>
      <c r="G434" s="58">
        <v>253445</v>
      </c>
      <c r="H434" s="69">
        <v>44683</v>
      </c>
      <c r="I434" s="88">
        <v>0.28000000000000003</v>
      </c>
      <c r="J434" s="58">
        <v>1370679.24</v>
      </c>
    </row>
    <row r="435" spans="1:10" ht="15">
      <c r="A435" s="58" t="s">
        <v>746</v>
      </c>
      <c r="B435" s="58" t="s">
        <v>790</v>
      </c>
      <c r="C435" s="58" t="s">
        <v>799</v>
      </c>
      <c r="D435" s="58" t="s">
        <v>812</v>
      </c>
      <c r="E435" s="58">
        <v>4411245</v>
      </c>
      <c r="F435" s="58">
        <v>5</v>
      </c>
      <c r="G435" s="58">
        <v>226806</v>
      </c>
      <c r="H435" s="69">
        <v>45134</v>
      </c>
      <c r="I435" s="88">
        <v>0.13</v>
      </c>
      <c r="J435" s="58">
        <v>2444233.5499999998</v>
      </c>
    </row>
    <row r="436" spans="1:10" ht="15">
      <c r="A436" s="58" t="s">
        <v>740</v>
      </c>
      <c r="B436" s="58" t="s">
        <v>804</v>
      </c>
      <c r="C436" s="58" t="s">
        <v>793</v>
      </c>
      <c r="D436" s="58" t="s">
        <v>811</v>
      </c>
      <c r="E436" s="58">
        <v>1794977</v>
      </c>
      <c r="F436" s="58">
        <v>24</v>
      </c>
      <c r="G436" s="58">
        <v>313706</v>
      </c>
      <c r="H436" s="69">
        <v>44885</v>
      </c>
      <c r="I436" s="88">
        <v>0.44</v>
      </c>
      <c r="J436" s="58">
        <v>2343036.08</v>
      </c>
    </row>
    <row r="437" spans="1:10" ht="15">
      <c r="A437" s="58" t="s">
        <v>740</v>
      </c>
      <c r="B437" s="58" t="s">
        <v>790</v>
      </c>
      <c r="C437" s="58" t="s">
        <v>793</v>
      </c>
      <c r="D437" s="58" t="s">
        <v>791</v>
      </c>
      <c r="E437" s="58">
        <v>4829894</v>
      </c>
      <c r="F437" s="58">
        <v>39</v>
      </c>
      <c r="G437" s="58">
        <v>409049</v>
      </c>
      <c r="H437" s="69">
        <v>45613</v>
      </c>
      <c r="I437" s="88">
        <v>0.19</v>
      </c>
      <c r="J437" s="58">
        <v>3815480.76</v>
      </c>
    </row>
    <row r="438" spans="1:10" ht="15">
      <c r="A438" s="58" t="s">
        <v>749</v>
      </c>
      <c r="B438" s="58" t="s">
        <v>814</v>
      </c>
      <c r="C438" s="58" t="s">
        <v>793</v>
      </c>
      <c r="D438" s="58" t="s">
        <v>806</v>
      </c>
      <c r="E438" s="58">
        <v>3839192</v>
      </c>
      <c r="F438" s="58">
        <v>67</v>
      </c>
      <c r="G438" s="58">
        <v>161264</v>
      </c>
      <c r="H438" s="69">
        <v>45458</v>
      </c>
      <c r="I438" s="88">
        <v>0.44</v>
      </c>
      <c r="J438" s="58">
        <v>1558862.8</v>
      </c>
    </row>
    <row r="439" spans="1:10" ht="15">
      <c r="A439" s="58" t="s">
        <v>740</v>
      </c>
      <c r="B439" s="58" t="s">
        <v>808</v>
      </c>
      <c r="C439" s="58" t="s">
        <v>795</v>
      </c>
      <c r="D439" s="58" t="s">
        <v>796</v>
      </c>
      <c r="E439" s="58">
        <v>4707171</v>
      </c>
      <c r="F439" s="58">
        <v>3</v>
      </c>
      <c r="G439" s="58">
        <v>239902</v>
      </c>
      <c r="H439" s="69">
        <v>45541</v>
      </c>
      <c r="I439" s="88">
        <v>0.19</v>
      </c>
      <c r="J439" s="58">
        <v>3149544.06</v>
      </c>
    </row>
    <row r="440" spans="1:10" ht="15">
      <c r="A440" s="58" t="s">
        <v>741</v>
      </c>
      <c r="B440" s="58" t="s">
        <v>792</v>
      </c>
      <c r="C440" s="58" t="s">
        <v>809</v>
      </c>
      <c r="D440" s="58" t="s">
        <v>791</v>
      </c>
      <c r="E440" s="58">
        <v>3454885</v>
      </c>
      <c r="F440" s="58">
        <v>95</v>
      </c>
      <c r="G440" s="58">
        <v>235339</v>
      </c>
      <c r="H440" s="69">
        <v>44831</v>
      </c>
      <c r="I440" s="88">
        <v>0.46</v>
      </c>
      <c r="J440" s="58">
        <v>1223030.3999999999</v>
      </c>
    </row>
    <row r="441" spans="1:10" ht="15">
      <c r="A441" s="58" t="s">
        <v>743</v>
      </c>
      <c r="B441" s="58" t="s">
        <v>802</v>
      </c>
      <c r="C441" s="58" t="s">
        <v>793</v>
      </c>
      <c r="D441" s="58" t="s">
        <v>805</v>
      </c>
      <c r="E441" s="58">
        <v>4624233</v>
      </c>
      <c r="F441" s="58">
        <v>3</v>
      </c>
      <c r="G441" s="58">
        <v>408800</v>
      </c>
      <c r="H441" s="69">
        <v>45053</v>
      </c>
      <c r="I441" s="88">
        <v>0.14000000000000001</v>
      </c>
      <c r="J441" s="58">
        <v>1764291.07</v>
      </c>
    </row>
    <row r="442" spans="1:10" ht="15">
      <c r="A442" s="58" t="s">
        <v>748</v>
      </c>
      <c r="B442" s="58" t="s">
        <v>802</v>
      </c>
      <c r="C442" s="58" t="s">
        <v>809</v>
      </c>
      <c r="D442" s="58" t="s">
        <v>806</v>
      </c>
      <c r="E442" s="58">
        <v>4454400</v>
      </c>
      <c r="F442" s="58">
        <v>38</v>
      </c>
      <c r="G442" s="58">
        <v>487418</v>
      </c>
      <c r="H442" s="69">
        <v>45614</v>
      </c>
      <c r="I442" s="88">
        <v>0.44</v>
      </c>
      <c r="J442" s="58">
        <v>820391.44</v>
      </c>
    </row>
    <row r="443" spans="1:10" ht="15">
      <c r="A443" s="58" t="s">
        <v>741</v>
      </c>
      <c r="B443" s="58" t="s">
        <v>808</v>
      </c>
      <c r="C443" s="58" t="s">
        <v>793</v>
      </c>
      <c r="D443" s="58" t="s">
        <v>810</v>
      </c>
      <c r="E443" s="58">
        <v>1810705</v>
      </c>
      <c r="F443" s="58">
        <v>97</v>
      </c>
      <c r="G443" s="58">
        <v>390103</v>
      </c>
      <c r="H443" s="69">
        <v>45432</v>
      </c>
      <c r="I443" s="88">
        <v>0.33</v>
      </c>
      <c r="J443" s="58">
        <v>1328997.8500000001</v>
      </c>
    </row>
    <row r="444" spans="1:10" ht="15">
      <c r="A444" s="58" t="s">
        <v>747</v>
      </c>
      <c r="B444" s="58" t="s">
        <v>802</v>
      </c>
      <c r="C444" s="58" t="s">
        <v>807</v>
      </c>
      <c r="D444" s="58" t="s">
        <v>810</v>
      </c>
      <c r="E444" s="58">
        <v>3154142</v>
      </c>
      <c r="F444" s="58">
        <v>54</v>
      </c>
      <c r="G444" s="58">
        <v>210350</v>
      </c>
      <c r="H444" s="69">
        <v>45188</v>
      </c>
      <c r="I444" s="88">
        <v>0.36</v>
      </c>
      <c r="J444" s="58">
        <v>1081429.1100000001</v>
      </c>
    </row>
    <row r="445" spans="1:10" ht="15">
      <c r="A445" s="58" t="s">
        <v>740</v>
      </c>
      <c r="B445" s="58" t="s">
        <v>792</v>
      </c>
      <c r="C445" s="58" t="s">
        <v>798</v>
      </c>
      <c r="D445" s="58" t="s">
        <v>803</v>
      </c>
      <c r="E445" s="58">
        <v>2506799</v>
      </c>
      <c r="F445" s="58">
        <v>37</v>
      </c>
      <c r="G445" s="58">
        <v>471768</v>
      </c>
      <c r="H445" s="69">
        <v>44562</v>
      </c>
      <c r="I445" s="88">
        <v>0.01</v>
      </c>
      <c r="J445" s="58">
        <v>2355413.64</v>
      </c>
    </row>
    <row r="446" spans="1:10" ht="15">
      <c r="A446" s="58" t="s">
        <v>743</v>
      </c>
      <c r="B446" s="58" t="s">
        <v>814</v>
      </c>
      <c r="C446" s="58" t="s">
        <v>795</v>
      </c>
      <c r="D446" s="58" t="s">
        <v>801</v>
      </c>
      <c r="E446" s="58">
        <v>4566231</v>
      </c>
      <c r="F446" s="58">
        <v>83</v>
      </c>
      <c r="G446" s="58">
        <v>251414</v>
      </c>
      <c r="H446" s="69">
        <v>45174</v>
      </c>
      <c r="I446" s="88">
        <v>0.31</v>
      </c>
      <c r="J446" s="58">
        <v>1707321</v>
      </c>
    </row>
    <row r="447" spans="1:10" ht="15">
      <c r="A447" s="58" t="s">
        <v>742</v>
      </c>
      <c r="B447" s="58" t="s">
        <v>804</v>
      </c>
      <c r="C447" s="58" t="s">
        <v>793</v>
      </c>
      <c r="D447" s="58" t="s">
        <v>813</v>
      </c>
      <c r="E447" s="58">
        <v>1131171</v>
      </c>
      <c r="F447" s="58">
        <v>89</v>
      </c>
      <c r="G447" s="58">
        <v>295566</v>
      </c>
      <c r="H447" s="69">
        <v>45374</v>
      </c>
      <c r="I447" s="88">
        <v>0.11</v>
      </c>
      <c r="J447" s="58">
        <v>125974.17</v>
      </c>
    </row>
    <row r="448" spans="1:10" ht="15">
      <c r="A448" s="58" t="s">
        <v>742</v>
      </c>
      <c r="B448" s="58" t="s">
        <v>787</v>
      </c>
      <c r="C448" s="58" t="s">
        <v>799</v>
      </c>
      <c r="D448" s="58" t="s">
        <v>796</v>
      </c>
      <c r="E448" s="58">
        <v>46030</v>
      </c>
      <c r="F448" s="58">
        <v>41</v>
      </c>
      <c r="G448" s="58">
        <v>369016</v>
      </c>
      <c r="H448" s="69">
        <v>45113</v>
      </c>
      <c r="I448" s="88">
        <v>0.08</v>
      </c>
      <c r="J448" s="58">
        <v>1654447.68</v>
      </c>
    </row>
    <row r="449" spans="1:10" ht="15">
      <c r="A449" s="58" t="s">
        <v>746</v>
      </c>
      <c r="B449" s="58" t="s">
        <v>809</v>
      </c>
      <c r="C449" s="58" t="s">
        <v>795</v>
      </c>
      <c r="D449" s="58" t="s">
        <v>805</v>
      </c>
      <c r="E449" s="58">
        <v>1769440</v>
      </c>
      <c r="F449" s="58">
        <v>73</v>
      </c>
      <c r="G449" s="58">
        <v>247245</v>
      </c>
      <c r="H449" s="69">
        <v>45613</v>
      </c>
      <c r="I449" s="88">
        <v>0.05</v>
      </c>
      <c r="J449" s="58">
        <v>2015502.3</v>
      </c>
    </row>
    <row r="450" spans="1:10" ht="15">
      <c r="A450" s="58" t="s">
        <v>743</v>
      </c>
      <c r="B450" s="58" t="s">
        <v>814</v>
      </c>
      <c r="C450" s="58" t="s">
        <v>798</v>
      </c>
      <c r="D450" s="58" t="s">
        <v>813</v>
      </c>
      <c r="E450" s="58">
        <v>3093717</v>
      </c>
      <c r="F450" s="58">
        <v>73</v>
      </c>
      <c r="G450" s="58">
        <v>170823</v>
      </c>
      <c r="H450" s="69">
        <v>45561</v>
      </c>
      <c r="I450" s="88">
        <v>0.22</v>
      </c>
      <c r="J450" s="58">
        <v>1981394.87</v>
      </c>
    </row>
    <row r="451" spans="1:10" ht="15">
      <c r="A451" s="58" t="s">
        <v>747</v>
      </c>
      <c r="B451" s="58" t="s">
        <v>792</v>
      </c>
      <c r="C451" s="58" t="s">
        <v>788</v>
      </c>
      <c r="D451" s="58" t="s">
        <v>812</v>
      </c>
      <c r="E451" s="58">
        <v>3122957</v>
      </c>
      <c r="F451" s="58">
        <v>58</v>
      </c>
      <c r="G451" s="58">
        <v>31569</v>
      </c>
      <c r="H451" s="69">
        <v>45053</v>
      </c>
      <c r="I451" s="88">
        <v>0.31</v>
      </c>
      <c r="J451" s="58">
        <v>1007617.02</v>
      </c>
    </row>
    <row r="452" spans="1:10" ht="15">
      <c r="A452" s="58" t="s">
        <v>742</v>
      </c>
      <c r="B452" s="58" t="s">
        <v>809</v>
      </c>
      <c r="C452" s="58" t="s">
        <v>809</v>
      </c>
      <c r="D452" s="58" t="s">
        <v>801</v>
      </c>
      <c r="E452" s="58">
        <v>952928</v>
      </c>
      <c r="F452" s="58">
        <v>8</v>
      </c>
      <c r="G452" s="58">
        <v>338761</v>
      </c>
      <c r="H452" s="69">
        <v>45130</v>
      </c>
      <c r="I452" s="88">
        <v>0.23</v>
      </c>
      <c r="J452" s="58">
        <v>3262223.97</v>
      </c>
    </row>
    <row r="453" spans="1:10" ht="15">
      <c r="A453" s="58" t="s">
        <v>749</v>
      </c>
      <c r="B453" s="58" t="s">
        <v>794</v>
      </c>
      <c r="C453" s="58" t="s">
        <v>798</v>
      </c>
      <c r="D453" s="58" t="s">
        <v>811</v>
      </c>
      <c r="E453" s="58">
        <v>2188659</v>
      </c>
      <c r="F453" s="58">
        <v>4</v>
      </c>
      <c r="G453" s="58">
        <v>34340</v>
      </c>
      <c r="H453" s="69">
        <v>44936</v>
      </c>
      <c r="I453" s="88">
        <v>0.31</v>
      </c>
      <c r="J453" s="58">
        <v>2387361.6</v>
      </c>
    </row>
    <row r="454" spans="1:10" ht="15">
      <c r="A454" s="58" t="s">
        <v>743</v>
      </c>
      <c r="B454" s="58" t="s">
        <v>787</v>
      </c>
      <c r="C454" s="58" t="s">
        <v>798</v>
      </c>
      <c r="D454" s="58" t="s">
        <v>796</v>
      </c>
      <c r="E454" s="58">
        <v>149742</v>
      </c>
      <c r="F454" s="58">
        <v>37</v>
      </c>
      <c r="G454" s="58">
        <v>189398</v>
      </c>
      <c r="H454" s="69">
        <v>44760</v>
      </c>
      <c r="I454" s="88">
        <v>0.26</v>
      </c>
      <c r="J454" s="58">
        <v>2326398.56</v>
      </c>
    </row>
    <row r="455" spans="1:10" ht="15">
      <c r="A455" s="58" t="s">
        <v>746</v>
      </c>
      <c r="B455" s="58" t="s">
        <v>802</v>
      </c>
      <c r="C455" s="58" t="s">
        <v>809</v>
      </c>
      <c r="D455" s="58" t="s">
        <v>803</v>
      </c>
      <c r="E455" s="58">
        <v>2961861</v>
      </c>
      <c r="F455" s="58">
        <v>46</v>
      </c>
      <c r="G455" s="58">
        <v>99329</v>
      </c>
      <c r="H455" s="69">
        <v>45447</v>
      </c>
      <c r="I455" s="88">
        <v>0.04</v>
      </c>
      <c r="J455" s="58">
        <v>2309505.48</v>
      </c>
    </row>
    <row r="456" spans="1:10" ht="15">
      <c r="A456" s="58" t="s">
        <v>744</v>
      </c>
      <c r="B456" s="58" t="s">
        <v>814</v>
      </c>
      <c r="C456" s="58" t="s">
        <v>795</v>
      </c>
      <c r="D456" s="58" t="s">
        <v>813</v>
      </c>
      <c r="E456" s="58">
        <v>74031</v>
      </c>
      <c r="F456" s="58">
        <v>34</v>
      </c>
      <c r="G456" s="58">
        <v>98493</v>
      </c>
      <c r="H456" s="69">
        <v>44985</v>
      </c>
      <c r="I456" s="88">
        <v>0.31</v>
      </c>
      <c r="J456" s="58">
        <v>1104210.3799999999</v>
      </c>
    </row>
    <row r="457" spans="1:10" ht="15">
      <c r="A457" s="58" t="s">
        <v>742</v>
      </c>
      <c r="B457" s="58" t="s">
        <v>797</v>
      </c>
      <c r="C457" s="58" t="s">
        <v>788</v>
      </c>
      <c r="D457" s="58" t="s">
        <v>811</v>
      </c>
      <c r="E457" s="58">
        <v>4740844</v>
      </c>
      <c r="F457" s="58">
        <v>43</v>
      </c>
      <c r="G457" s="58">
        <v>130886</v>
      </c>
      <c r="H457" s="69">
        <v>44879</v>
      </c>
      <c r="I457" s="88">
        <v>0.02</v>
      </c>
      <c r="J457" s="58">
        <v>495469.22</v>
      </c>
    </row>
    <row r="458" spans="1:10" ht="15">
      <c r="A458" s="58" t="s">
        <v>748</v>
      </c>
      <c r="B458" s="58" t="s">
        <v>792</v>
      </c>
      <c r="C458" s="58" t="s">
        <v>793</v>
      </c>
      <c r="D458" s="58" t="s">
        <v>789</v>
      </c>
      <c r="E458" s="58">
        <v>3551747</v>
      </c>
      <c r="F458" s="58">
        <v>85</v>
      </c>
      <c r="G458" s="58">
        <v>385070</v>
      </c>
      <c r="H458" s="69">
        <v>44596</v>
      </c>
      <c r="I458" s="88">
        <v>0.31</v>
      </c>
      <c r="J458" s="58">
        <v>3836306.04</v>
      </c>
    </row>
    <row r="459" spans="1:10" ht="15">
      <c r="A459" s="58" t="s">
        <v>744</v>
      </c>
      <c r="B459" s="58" t="s">
        <v>814</v>
      </c>
      <c r="C459" s="58" t="s">
        <v>799</v>
      </c>
      <c r="D459" s="58" t="s">
        <v>801</v>
      </c>
      <c r="E459" s="58">
        <v>3191882</v>
      </c>
      <c r="F459" s="58">
        <v>37</v>
      </c>
      <c r="G459" s="58">
        <v>236959</v>
      </c>
      <c r="H459" s="69">
        <v>45146</v>
      </c>
      <c r="I459" s="88">
        <v>0.08</v>
      </c>
      <c r="J459" s="58">
        <v>1954804.83</v>
      </c>
    </row>
    <row r="460" spans="1:10" ht="15">
      <c r="A460" s="58" t="s">
        <v>746</v>
      </c>
      <c r="B460" s="58" t="s">
        <v>802</v>
      </c>
      <c r="C460" s="58" t="s">
        <v>809</v>
      </c>
      <c r="D460" s="58" t="s">
        <v>815</v>
      </c>
      <c r="E460" s="58">
        <v>1937960</v>
      </c>
      <c r="F460" s="58">
        <v>90</v>
      </c>
      <c r="G460" s="58">
        <v>192141</v>
      </c>
      <c r="H460" s="69">
        <v>44826</v>
      </c>
      <c r="I460" s="88">
        <v>0.35</v>
      </c>
      <c r="J460" s="58">
        <v>665845.09</v>
      </c>
    </row>
    <row r="461" spans="1:10" ht="15">
      <c r="A461" s="58" t="s">
        <v>749</v>
      </c>
      <c r="B461" s="58" t="s">
        <v>802</v>
      </c>
      <c r="C461" s="58" t="s">
        <v>809</v>
      </c>
      <c r="D461" s="58" t="s">
        <v>815</v>
      </c>
      <c r="E461" s="58">
        <v>4489556</v>
      </c>
      <c r="F461" s="58">
        <v>1</v>
      </c>
      <c r="G461" s="58">
        <v>420364</v>
      </c>
      <c r="H461" s="69">
        <v>45417</v>
      </c>
      <c r="I461" s="88">
        <v>0.2</v>
      </c>
      <c r="J461" s="58">
        <v>1062097.6200000001</v>
      </c>
    </row>
    <row r="462" spans="1:10" ht="15">
      <c r="A462" s="58" t="s">
        <v>744</v>
      </c>
      <c r="B462" s="58" t="s">
        <v>808</v>
      </c>
      <c r="C462" s="58" t="s">
        <v>795</v>
      </c>
      <c r="D462" s="58" t="s">
        <v>801</v>
      </c>
      <c r="E462" s="58">
        <v>1335481</v>
      </c>
      <c r="F462" s="58">
        <v>99</v>
      </c>
      <c r="G462" s="58">
        <v>317578</v>
      </c>
      <c r="H462" s="69">
        <v>44690</v>
      </c>
      <c r="I462" s="88">
        <v>0.13</v>
      </c>
      <c r="J462" s="58">
        <v>3632753.75</v>
      </c>
    </row>
    <row r="463" spans="1:10" ht="15">
      <c r="A463" s="58" t="s">
        <v>749</v>
      </c>
      <c r="B463" s="58" t="s">
        <v>792</v>
      </c>
      <c r="C463" s="58" t="s">
        <v>788</v>
      </c>
      <c r="D463" s="58" t="s">
        <v>812</v>
      </c>
      <c r="E463" s="58">
        <v>4422279</v>
      </c>
      <c r="F463" s="58">
        <v>97</v>
      </c>
      <c r="G463" s="58">
        <v>9578</v>
      </c>
      <c r="H463" s="69">
        <v>45201</v>
      </c>
      <c r="I463" s="88">
        <v>0.06</v>
      </c>
      <c r="J463" s="58">
        <v>4372847.3</v>
      </c>
    </row>
    <row r="464" spans="1:10" ht="15">
      <c r="A464" s="58" t="s">
        <v>747</v>
      </c>
      <c r="B464" s="58" t="s">
        <v>804</v>
      </c>
      <c r="C464" s="58" t="s">
        <v>795</v>
      </c>
      <c r="D464" s="58" t="s">
        <v>805</v>
      </c>
      <c r="E464" s="58">
        <v>4150656</v>
      </c>
      <c r="F464" s="58">
        <v>37</v>
      </c>
      <c r="G464" s="58">
        <v>7897</v>
      </c>
      <c r="H464" s="69">
        <v>45506</v>
      </c>
      <c r="I464" s="88">
        <v>0.06</v>
      </c>
      <c r="J464" s="58">
        <v>3703030.02</v>
      </c>
    </row>
    <row r="465" spans="1:10" ht="15">
      <c r="A465" s="58" t="s">
        <v>749</v>
      </c>
      <c r="B465" s="58" t="s">
        <v>802</v>
      </c>
      <c r="C465" s="58" t="s">
        <v>798</v>
      </c>
      <c r="D465" s="58" t="s">
        <v>813</v>
      </c>
      <c r="E465" s="58">
        <v>4056531</v>
      </c>
      <c r="F465" s="58">
        <v>52</v>
      </c>
      <c r="G465" s="58">
        <v>329920</v>
      </c>
      <c r="H465" s="69">
        <v>45430</v>
      </c>
      <c r="I465" s="88">
        <v>0.35</v>
      </c>
      <c r="J465" s="58">
        <v>1898782.38</v>
      </c>
    </row>
    <row r="466" spans="1:10" ht="15">
      <c r="A466" s="58" t="s">
        <v>742</v>
      </c>
      <c r="B466" s="58" t="s">
        <v>787</v>
      </c>
      <c r="C466" s="58" t="s">
        <v>807</v>
      </c>
      <c r="D466" s="58" t="s">
        <v>805</v>
      </c>
      <c r="E466" s="58">
        <v>2832812</v>
      </c>
      <c r="F466" s="58">
        <v>68</v>
      </c>
      <c r="G466" s="58">
        <v>456684</v>
      </c>
      <c r="H466" s="69">
        <v>44793</v>
      </c>
      <c r="I466" s="88">
        <v>0.37</v>
      </c>
      <c r="J466" s="58">
        <v>958562.99</v>
      </c>
    </row>
    <row r="467" spans="1:10" ht="15">
      <c r="A467" s="58" t="s">
        <v>740</v>
      </c>
      <c r="B467" s="58" t="s">
        <v>809</v>
      </c>
      <c r="C467" s="58" t="s">
        <v>798</v>
      </c>
      <c r="D467" s="58" t="s">
        <v>813</v>
      </c>
      <c r="E467" s="58">
        <v>3270804</v>
      </c>
      <c r="F467" s="58">
        <v>8</v>
      </c>
      <c r="G467" s="58">
        <v>229578</v>
      </c>
      <c r="H467" s="69">
        <v>45303</v>
      </c>
      <c r="I467" s="88">
        <v>0.4</v>
      </c>
      <c r="J467" s="58">
        <v>368075.5</v>
      </c>
    </row>
    <row r="468" spans="1:10" ht="15">
      <c r="A468" s="58" t="s">
        <v>743</v>
      </c>
      <c r="B468" s="58" t="s">
        <v>787</v>
      </c>
      <c r="C468" s="58" t="s">
        <v>788</v>
      </c>
      <c r="D468" s="58" t="s">
        <v>806</v>
      </c>
      <c r="E468" s="58">
        <v>3345329</v>
      </c>
      <c r="F468" s="58">
        <v>34</v>
      </c>
      <c r="G468" s="58">
        <v>495896</v>
      </c>
      <c r="H468" s="69">
        <v>45521</v>
      </c>
      <c r="I468" s="88">
        <v>0.36</v>
      </c>
      <c r="J468" s="58">
        <v>79703.91</v>
      </c>
    </row>
    <row r="469" spans="1:10" ht="15">
      <c r="A469" s="58" t="s">
        <v>741</v>
      </c>
      <c r="B469" s="58" t="s">
        <v>792</v>
      </c>
      <c r="C469" s="58" t="s">
        <v>807</v>
      </c>
      <c r="D469" s="58" t="s">
        <v>811</v>
      </c>
      <c r="E469" s="58">
        <v>2930047</v>
      </c>
      <c r="F469" s="58">
        <v>21</v>
      </c>
      <c r="G469" s="58">
        <v>154467</v>
      </c>
      <c r="H469" s="69">
        <v>44610</v>
      </c>
      <c r="I469" s="88">
        <v>0.15</v>
      </c>
      <c r="J469" s="58">
        <v>1265879.52</v>
      </c>
    </row>
    <row r="470" spans="1:10" ht="15">
      <c r="A470" s="58" t="s">
        <v>740</v>
      </c>
      <c r="B470" s="58" t="s">
        <v>794</v>
      </c>
      <c r="C470" s="58" t="s">
        <v>809</v>
      </c>
      <c r="D470" s="58" t="s">
        <v>812</v>
      </c>
      <c r="E470" s="58">
        <v>2164416</v>
      </c>
      <c r="F470" s="58">
        <v>76</v>
      </c>
      <c r="G470" s="58">
        <v>176912</v>
      </c>
      <c r="H470" s="69">
        <v>45398</v>
      </c>
      <c r="I470" s="88">
        <v>0.16</v>
      </c>
      <c r="J470" s="58">
        <v>3671737.65</v>
      </c>
    </row>
    <row r="471" spans="1:10" ht="15">
      <c r="A471" s="58" t="s">
        <v>741</v>
      </c>
      <c r="B471" s="58" t="s">
        <v>802</v>
      </c>
      <c r="C471" s="58" t="s">
        <v>799</v>
      </c>
      <c r="D471" s="58" t="s">
        <v>805</v>
      </c>
      <c r="E471" s="58">
        <v>1172722</v>
      </c>
      <c r="F471" s="58">
        <v>9</v>
      </c>
      <c r="G471" s="58">
        <v>266206</v>
      </c>
      <c r="H471" s="69">
        <v>45034</v>
      </c>
      <c r="I471" s="88">
        <v>0.24</v>
      </c>
      <c r="J471" s="58">
        <v>684388.5</v>
      </c>
    </row>
    <row r="472" spans="1:10" ht="15">
      <c r="A472" s="58" t="s">
        <v>748</v>
      </c>
      <c r="B472" s="58" t="s">
        <v>814</v>
      </c>
      <c r="C472" s="58" t="s">
        <v>809</v>
      </c>
      <c r="D472" s="58" t="s">
        <v>796</v>
      </c>
      <c r="E472" s="58">
        <v>2433039</v>
      </c>
      <c r="F472" s="58">
        <v>68</v>
      </c>
      <c r="G472" s="58">
        <v>128021</v>
      </c>
      <c r="H472" s="69">
        <v>44731</v>
      </c>
      <c r="I472" s="88">
        <v>0.16</v>
      </c>
      <c r="J472" s="58">
        <v>1756654.06</v>
      </c>
    </row>
    <row r="473" spans="1:10" ht="15">
      <c r="A473" s="58" t="s">
        <v>741</v>
      </c>
      <c r="B473" s="58" t="s">
        <v>790</v>
      </c>
      <c r="C473" s="58" t="s">
        <v>807</v>
      </c>
      <c r="D473" s="58" t="s">
        <v>801</v>
      </c>
      <c r="E473" s="58">
        <v>4309677</v>
      </c>
      <c r="F473" s="58">
        <v>19</v>
      </c>
      <c r="G473" s="58">
        <v>259987</v>
      </c>
      <c r="H473" s="69">
        <v>44908</v>
      </c>
      <c r="I473" s="88">
        <v>0.22</v>
      </c>
      <c r="J473" s="58">
        <v>66304.56</v>
      </c>
    </row>
    <row r="474" spans="1:10" ht="15">
      <c r="A474" s="58" t="s">
        <v>747</v>
      </c>
      <c r="B474" s="58" t="s">
        <v>808</v>
      </c>
      <c r="C474" s="58" t="s">
        <v>798</v>
      </c>
      <c r="D474" s="58" t="s">
        <v>813</v>
      </c>
      <c r="E474" s="58">
        <v>4822249</v>
      </c>
      <c r="F474" s="58">
        <v>23</v>
      </c>
      <c r="G474" s="58">
        <v>292742</v>
      </c>
      <c r="H474" s="69">
        <v>44672</v>
      </c>
      <c r="I474" s="88">
        <v>0.41</v>
      </c>
      <c r="J474" s="58">
        <v>25802.06</v>
      </c>
    </row>
    <row r="475" spans="1:10" ht="15">
      <c r="A475" s="58" t="s">
        <v>742</v>
      </c>
      <c r="B475" s="58" t="s">
        <v>794</v>
      </c>
      <c r="C475" s="58" t="s">
        <v>799</v>
      </c>
      <c r="D475" s="58" t="s">
        <v>800</v>
      </c>
      <c r="E475" s="58">
        <v>4542331</v>
      </c>
      <c r="F475" s="58">
        <v>85</v>
      </c>
      <c r="G475" s="58">
        <v>35665</v>
      </c>
      <c r="H475" s="69">
        <v>45568</v>
      </c>
      <c r="I475" s="88">
        <v>0.44</v>
      </c>
      <c r="J475" s="58">
        <v>2015338.65</v>
      </c>
    </row>
    <row r="476" spans="1:10" ht="15">
      <c r="A476" s="58" t="s">
        <v>741</v>
      </c>
      <c r="B476" s="58" t="s">
        <v>808</v>
      </c>
      <c r="C476" s="58" t="s">
        <v>795</v>
      </c>
      <c r="D476" s="58" t="s">
        <v>811</v>
      </c>
      <c r="E476" s="58">
        <v>2426809</v>
      </c>
      <c r="F476" s="58">
        <v>35</v>
      </c>
      <c r="G476" s="58">
        <v>228394</v>
      </c>
      <c r="H476" s="69">
        <v>45171</v>
      </c>
      <c r="I476" s="88">
        <v>0.25</v>
      </c>
      <c r="J476" s="58">
        <v>3540575.5</v>
      </c>
    </row>
    <row r="477" spans="1:10" ht="15">
      <c r="A477" s="58" t="s">
        <v>745</v>
      </c>
      <c r="B477" s="58" t="s">
        <v>797</v>
      </c>
      <c r="C477" s="58" t="s">
        <v>807</v>
      </c>
      <c r="D477" s="58" t="s">
        <v>801</v>
      </c>
      <c r="E477" s="58">
        <v>964105</v>
      </c>
      <c r="F477" s="58">
        <v>97</v>
      </c>
      <c r="G477" s="58">
        <v>38407</v>
      </c>
      <c r="H477" s="69">
        <v>45119</v>
      </c>
      <c r="I477" s="88">
        <v>0.18</v>
      </c>
      <c r="J477" s="58">
        <v>2209670.1</v>
      </c>
    </row>
    <row r="478" spans="1:10" ht="15">
      <c r="A478" s="58" t="s">
        <v>741</v>
      </c>
      <c r="B478" s="58" t="s">
        <v>787</v>
      </c>
      <c r="C478" s="58" t="s">
        <v>793</v>
      </c>
      <c r="D478" s="58" t="s">
        <v>810</v>
      </c>
      <c r="E478" s="58">
        <v>3218341</v>
      </c>
      <c r="F478" s="58">
        <v>98</v>
      </c>
      <c r="G478" s="58">
        <v>375742</v>
      </c>
      <c r="H478" s="69">
        <v>44635</v>
      </c>
      <c r="I478" s="88">
        <v>0.18</v>
      </c>
      <c r="J478" s="58">
        <v>3143082.16</v>
      </c>
    </row>
    <row r="479" spans="1:10" ht="15">
      <c r="A479" s="58" t="s">
        <v>745</v>
      </c>
      <c r="B479" s="58" t="s">
        <v>809</v>
      </c>
      <c r="C479" s="58" t="s">
        <v>795</v>
      </c>
      <c r="D479" s="58" t="s">
        <v>796</v>
      </c>
      <c r="E479" s="58">
        <v>1670274</v>
      </c>
      <c r="F479" s="58">
        <v>57</v>
      </c>
      <c r="G479" s="58">
        <v>407541</v>
      </c>
      <c r="H479" s="69">
        <v>45397</v>
      </c>
      <c r="I479" s="88">
        <v>0.42</v>
      </c>
      <c r="J479" s="58">
        <v>3542650.34</v>
      </c>
    </row>
    <row r="480" spans="1:10" ht="15">
      <c r="A480" s="58" t="s">
        <v>744</v>
      </c>
      <c r="B480" s="58" t="s">
        <v>794</v>
      </c>
      <c r="C480" s="58" t="s">
        <v>799</v>
      </c>
      <c r="D480" s="58" t="s">
        <v>789</v>
      </c>
      <c r="E480" s="58">
        <v>3738451</v>
      </c>
      <c r="F480" s="58">
        <v>71</v>
      </c>
      <c r="G480" s="58">
        <v>390183</v>
      </c>
      <c r="H480" s="69">
        <v>45348</v>
      </c>
      <c r="I480" s="88">
        <v>0.34</v>
      </c>
      <c r="J480" s="58">
        <v>2469948.4700000002</v>
      </c>
    </row>
    <row r="481" spans="1:10" ht="15">
      <c r="A481" s="58" t="s">
        <v>742</v>
      </c>
      <c r="B481" s="58" t="s">
        <v>794</v>
      </c>
      <c r="C481" s="58" t="s">
        <v>795</v>
      </c>
      <c r="D481" s="58" t="s">
        <v>806</v>
      </c>
      <c r="E481" s="58">
        <v>2925782</v>
      </c>
      <c r="F481" s="58">
        <v>90</v>
      </c>
      <c r="G481" s="58">
        <v>26905</v>
      </c>
      <c r="H481" s="69">
        <v>45407</v>
      </c>
      <c r="I481" s="88">
        <v>0.49</v>
      </c>
      <c r="J481" s="58">
        <v>304624.26</v>
      </c>
    </row>
    <row r="482" spans="1:10" ht="15">
      <c r="A482" s="58" t="s">
        <v>748</v>
      </c>
      <c r="B482" s="58" t="s">
        <v>814</v>
      </c>
      <c r="C482" s="58" t="s">
        <v>799</v>
      </c>
      <c r="D482" s="58" t="s">
        <v>806</v>
      </c>
      <c r="E482" s="58">
        <v>1245391</v>
      </c>
      <c r="F482" s="58">
        <v>67</v>
      </c>
      <c r="G482" s="58">
        <v>167495</v>
      </c>
      <c r="H482" s="69">
        <v>45323</v>
      </c>
      <c r="I482" s="88">
        <v>0.28999999999999998</v>
      </c>
      <c r="J482" s="58">
        <v>2100036.84</v>
      </c>
    </row>
    <row r="483" spans="1:10" ht="15">
      <c r="A483" s="58" t="s">
        <v>749</v>
      </c>
      <c r="B483" s="58" t="s">
        <v>804</v>
      </c>
      <c r="C483" s="58" t="s">
        <v>795</v>
      </c>
      <c r="D483" s="58" t="s">
        <v>800</v>
      </c>
      <c r="E483" s="58">
        <v>4200850</v>
      </c>
      <c r="F483" s="58">
        <v>90</v>
      </c>
      <c r="G483" s="58">
        <v>386328</v>
      </c>
      <c r="H483" s="69">
        <v>44853</v>
      </c>
      <c r="I483" s="88">
        <v>0.28999999999999998</v>
      </c>
      <c r="J483" s="58">
        <v>3139960.56</v>
      </c>
    </row>
    <row r="484" spans="1:10" ht="15">
      <c r="A484" s="58" t="s">
        <v>743</v>
      </c>
      <c r="B484" s="58" t="s">
        <v>804</v>
      </c>
      <c r="C484" s="58" t="s">
        <v>788</v>
      </c>
      <c r="D484" s="58" t="s">
        <v>810</v>
      </c>
      <c r="E484" s="58">
        <v>2125392</v>
      </c>
      <c r="F484" s="58">
        <v>5</v>
      </c>
      <c r="G484" s="58">
        <v>91219</v>
      </c>
      <c r="H484" s="69">
        <v>44729</v>
      </c>
      <c r="I484" s="88">
        <v>0.35</v>
      </c>
      <c r="J484" s="58">
        <v>1569330</v>
      </c>
    </row>
    <row r="485" spans="1:10" ht="15">
      <c r="A485" s="58" t="s">
        <v>747</v>
      </c>
      <c r="B485" s="58" t="s">
        <v>802</v>
      </c>
      <c r="C485" s="58" t="s">
        <v>799</v>
      </c>
      <c r="D485" s="58" t="s">
        <v>796</v>
      </c>
      <c r="E485" s="58">
        <v>3828828</v>
      </c>
      <c r="F485" s="58">
        <v>24</v>
      </c>
      <c r="G485" s="58">
        <v>433534</v>
      </c>
      <c r="H485" s="69">
        <v>45133</v>
      </c>
      <c r="I485" s="88">
        <v>0.28000000000000003</v>
      </c>
      <c r="J485" s="58">
        <v>1152518</v>
      </c>
    </row>
    <row r="486" spans="1:10" ht="15">
      <c r="A486" s="58" t="s">
        <v>744</v>
      </c>
      <c r="B486" s="58" t="s">
        <v>814</v>
      </c>
      <c r="C486" s="58" t="s">
        <v>809</v>
      </c>
      <c r="D486" s="58" t="s">
        <v>815</v>
      </c>
      <c r="E486" s="58">
        <v>4446749</v>
      </c>
      <c r="F486" s="58">
        <v>53</v>
      </c>
      <c r="G486" s="58">
        <v>420392</v>
      </c>
      <c r="H486" s="69">
        <v>45263</v>
      </c>
      <c r="I486" s="88">
        <v>0.38</v>
      </c>
      <c r="J486" s="58">
        <v>1084605.72</v>
      </c>
    </row>
    <row r="487" spans="1:10" ht="15">
      <c r="A487" s="58" t="s">
        <v>742</v>
      </c>
      <c r="B487" s="58" t="s">
        <v>790</v>
      </c>
      <c r="C487" s="58" t="s">
        <v>807</v>
      </c>
      <c r="D487" s="58" t="s">
        <v>801</v>
      </c>
      <c r="E487" s="58">
        <v>1546620</v>
      </c>
      <c r="F487" s="58">
        <v>92</v>
      </c>
      <c r="G487" s="58">
        <v>154973</v>
      </c>
      <c r="H487" s="69">
        <v>45150</v>
      </c>
      <c r="I487" s="88">
        <v>0.19</v>
      </c>
      <c r="J487" s="58">
        <v>2620883.4300000002</v>
      </c>
    </row>
    <row r="488" spans="1:10" ht="15">
      <c r="A488" s="58" t="s">
        <v>748</v>
      </c>
      <c r="B488" s="58" t="s">
        <v>794</v>
      </c>
      <c r="C488" s="58" t="s">
        <v>807</v>
      </c>
      <c r="D488" s="58" t="s">
        <v>789</v>
      </c>
      <c r="E488" s="58">
        <v>2685830</v>
      </c>
      <c r="F488" s="58">
        <v>75</v>
      </c>
      <c r="G488" s="58">
        <v>238703</v>
      </c>
      <c r="H488" s="69">
        <v>45262</v>
      </c>
      <c r="I488" s="88">
        <v>0.18</v>
      </c>
      <c r="J488" s="58">
        <v>1978256.43</v>
      </c>
    </row>
    <row r="489" spans="1:10" ht="15">
      <c r="A489" s="58" t="s">
        <v>744</v>
      </c>
      <c r="B489" s="58" t="s">
        <v>794</v>
      </c>
      <c r="C489" s="58" t="s">
        <v>809</v>
      </c>
      <c r="D489" s="58" t="s">
        <v>810</v>
      </c>
      <c r="E489" s="58">
        <v>1738479</v>
      </c>
      <c r="F489" s="58">
        <v>19</v>
      </c>
      <c r="G489" s="58">
        <v>357308</v>
      </c>
      <c r="H489" s="69">
        <v>45544</v>
      </c>
      <c r="I489" s="88">
        <v>0.42</v>
      </c>
      <c r="J489" s="58">
        <v>1615731</v>
      </c>
    </row>
    <row r="490" spans="1:10" ht="15">
      <c r="A490" s="58" t="s">
        <v>745</v>
      </c>
      <c r="B490" s="58" t="s">
        <v>809</v>
      </c>
      <c r="C490" s="58" t="s">
        <v>798</v>
      </c>
      <c r="D490" s="58" t="s">
        <v>813</v>
      </c>
      <c r="E490" s="58">
        <v>718608</v>
      </c>
      <c r="F490" s="58">
        <v>60</v>
      </c>
      <c r="G490" s="58">
        <v>84604</v>
      </c>
      <c r="H490" s="69">
        <v>45006</v>
      </c>
      <c r="I490" s="88">
        <v>0.44</v>
      </c>
      <c r="J490" s="58">
        <v>285163.59000000003</v>
      </c>
    </row>
    <row r="491" spans="1:10" ht="15">
      <c r="A491" s="58" t="s">
        <v>741</v>
      </c>
      <c r="B491" s="58" t="s">
        <v>804</v>
      </c>
      <c r="C491" s="58" t="s">
        <v>809</v>
      </c>
      <c r="D491" s="58" t="s">
        <v>813</v>
      </c>
      <c r="E491" s="58">
        <v>1000655</v>
      </c>
      <c r="F491" s="58">
        <v>96</v>
      </c>
      <c r="G491" s="58">
        <v>208262</v>
      </c>
      <c r="H491" s="69">
        <v>45173</v>
      </c>
      <c r="I491" s="88">
        <v>0.35</v>
      </c>
      <c r="J491" s="58">
        <v>2150331.75</v>
      </c>
    </row>
    <row r="492" spans="1:10" ht="15">
      <c r="A492" s="58" t="s">
        <v>745</v>
      </c>
      <c r="B492" s="58" t="s">
        <v>797</v>
      </c>
      <c r="C492" s="58" t="s">
        <v>793</v>
      </c>
      <c r="D492" s="58" t="s">
        <v>801</v>
      </c>
      <c r="E492" s="58">
        <v>4389187</v>
      </c>
      <c r="F492" s="58">
        <v>30</v>
      </c>
      <c r="G492" s="58">
        <v>95692</v>
      </c>
      <c r="H492" s="69">
        <v>44862</v>
      </c>
      <c r="I492" s="88">
        <v>0.37</v>
      </c>
      <c r="J492" s="58">
        <v>1115228.3999999999</v>
      </c>
    </row>
    <row r="493" spans="1:10" ht="15">
      <c r="A493" s="58" t="s">
        <v>740</v>
      </c>
      <c r="B493" s="58" t="s">
        <v>802</v>
      </c>
      <c r="C493" s="58" t="s">
        <v>788</v>
      </c>
      <c r="D493" s="58" t="s">
        <v>812</v>
      </c>
      <c r="E493" s="58">
        <v>2894963</v>
      </c>
      <c r="F493" s="58">
        <v>6</v>
      </c>
      <c r="G493" s="58">
        <v>451690</v>
      </c>
      <c r="H493" s="69">
        <v>44853</v>
      </c>
      <c r="I493" s="88">
        <v>0.47</v>
      </c>
      <c r="J493" s="58">
        <v>926567.49</v>
      </c>
    </row>
    <row r="494" spans="1:10" ht="15">
      <c r="A494" s="58" t="s">
        <v>744</v>
      </c>
      <c r="B494" s="58" t="s">
        <v>802</v>
      </c>
      <c r="C494" s="58" t="s">
        <v>798</v>
      </c>
      <c r="D494" s="58" t="s">
        <v>805</v>
      </c>
      <c r="E494" s="58">
        <v>1809792</v>
      </c>
      <c r="F494" s="58">
        <v>97</v>
      </c>
      <c r="G494" s="58">
        <v>286982</v>
      </c>
      <c r="H494" s="69">
        <v>45269</v>
      </c>
      <c r="I494" s="88">
        <v>0.5</v>
      </c>
      <c r="J494" s="58">
        <v>1296754.51</v>
      </c>
    </row>
    <row r="495" spans="1:10" ht="15">
      <c r="A495" s="58" t="s">
        <v>749</v>
      </c>
      <c r="B495" s="58" t="s">
        <v>794</v>
      </c>
      <c r="C495" s="58" t="s">
        <v>807</v>
      </c>
      <c r="D495" s="58" t="s">
        <v>800</v>
      </c>
      <c r="E495" s="58">
        <v>55936</v>
      </c>
      <c r="F495" s="58">
        <v>80</v>
      </c>
      <c r="G495" s="58">
        <v>430811</v>
      </c>
      <c r="H495" s="69">
        <v>45546</v>
      </c>
      <c r="I495" s="88">
        <v>0.12</v>
      </c>
      <c r="J495" s="58">
        <v>2798292.45</v>
      </c>
    </row>
    <row r="496" spans="1:10" ht="15">
      <c r="A496" s="58" t="s">
        <v>743</v>
      </c>
      <c r="B496" s="58" t="s">
        <v>792</v>
      </c>
      <c r="C496" s="58" t="s">
        <v>795</v>
      </c>
      <c r="D496" s="58" t="s">
        <v>811</v>
      </c>
      <c r="E496" s="58">
        <v>1312052</v>
      </c>
      <c r="F496" s="58">
        <v>12</v>
      </c>
      <c r="G496" s="58">
        <v>130508</v>
      </c>
      <c r="H496" s="69">
        <v>44597</v>
      </c>
      <c r="I496" s="88">
        <v>0.48</v>
      </c>
      <c r="J496" s="58">
        <v>78402.55</v>
      </c>
    </row>
    <row r="497" spans="1:10" ht="15">
      <c r="A497" s="58" t="s">
        <v>746</v>
      </c>
      <c r="B497" s="58" t="s">
        <v>797</v>
      </c>
      <c r="C497" s="58" t="s">
        <v>788</v>
      </c>
      <c r="D497" s="58" t="s">
        <v>812</v>
      </c>
      <c r="E497" s="58">
        <v>945854</v>
      </c>
      <c r="F497" s="58">
        <v>30</v>
      </c>
      <c r="G497" s="58">
        <v>113549</v>
      </c>
      <c r="H497" s="69">
        <v>45354</v>
      </c>
      <c r="I497" s="88">
        <v>0.49</v>
      </c>
      <c r="J497" s="58">
        <v>1414740.6</v>
      </c>
    </row>
    <row r="498" spans="1:10" ht="15">
      <c r="A498" s="58" t="s">
        <v>748</v>
      </c>
      <c r="B498" s="58" t="s">
        <v>787</v>
      </c>
      <c r="C498" s="58" t="s">
        <v>798</v>
      </c>
      <c r="D498" s="58" t="s">
        <v>803</v>
      </c>
      <c r="E498" s="58">
        <v>3729752</v>
      </c>
      <c r="F498" s="58">
        <v>65</v>
      </c>
      <c r="G498" s="58">
        <v>257746</v>
      </c>
      <c r="H498" s="69">
        <v>45090</v>
      </c>
      <c r="I498" s="88">
        <v>0.33</v>
      </c>
      <c r="J498" s="58">
        <v>933321.39</v>
      </c>
    </row>
    <row r="499" spans="1:10" ht="15">
      <c r="A499" s="58" t="s">
        <v>744</v>
      </c>
      <c r="B499" s="58" t="s">
        <v>808</v>
      </c>
      <c r="C499" s="58" t="s">
        <v>788</v>
      </c>
      <c r="D499" s="58" t="s">
        <v>800</v>
      </c>
      <c r="E499" s="58">
        <v>4014413</v>
      </c>
      <c r="F499" s="58">
        <v>4</v>
      </c>
      <c r="G499" s="58">
        <v>338162</v>
      </c>
      <c r="H499" s="69">
        <v>45122</v>
      </c>
      <c r="I499" s="88">
        <v>0.39</v>
      </c>
      <c r="J499" s="58">
        <v>2334372.54</v>
      </c>
    </row>
    <row r="500" spans="1:10" ht="15">
      <c r="A500" s="58" t="s">
        <v>749</v>
      </c>
      <c r="B500" s="58" t="s">
        <v>794</v>
      </c>
      <c r="C500" s="58" t="s">
        <v>795</v>
      </c>
      <c r="D500" s="58" t="s">
        <v>806</v>
      </c>
      <c r="E500" s="58">
        <v>2939411</v>
      </c>
      <c r="F500" s="58">
        <v>94</v>
      </c>
      <c r="G500" s="58">
        <v>90005</v>
      </c>
      <c r="H500" s="69">
        <v>44667</v>
      </c>
      <c r="I500" s="88">
        <v>0.02</v>
      </c>
      <c r="J500" s="58">
        <v>1749383.91</v>
      </c>
    </row>
    <row r="501" spans="1:10" ht="15">
      <c r="A501" s="58" t="s">
        <v>743</v>
      </c>
      <c r="B501" s="58" t="s">
        <v>792</v>
      </c>
      <c r="C501" s="58" t="s">
        <v>799</v>
      </c>
      <c r="D501" s="58" t="s">
        <v>805</v>
      </c>
      <c r="E501" s="58">
        <v>3661161</v>
      </c>
      <c r="F501" s="58">
        <v>91</v>
      </c>
      <c r="G501" s="58">
        <v>239632</v>
      </c>
      <c r="H501" s="69">
        <v>44714</v>
      </c>
      <c r="I501" s="88">
        <v>7.0000000000000007E-2</v>
      </c>
      <c r="J501" s="58">
        <v>1079133.93</v>
      </c>
    </row>
    <row r="502" spans="1:10" ht="15">
      <c r="A502" s="58" t="s">
        <v>743</v>
      </c>
      <c r="B502" s="58" t="s">
        <v>808</v>
      </c>
      <c r="C502" s="58" t="s">
        <v>788</v>
      </c>
      <c r="D502" s="58" t="s">
        <v>801</v>
      </c>
      <c r="E502" s="58">
        <v>1031654</v>
      </c>
      <c r="F502" s="58">
        <v>83</v>
      </c>
      <c r="G502" s="58">
        <v>464968</v>
      </c>
      <c r="H502" s="69">
        <v>45433</v>
      </c>
      <c r="I502" s="88">
        <v>0.4</v>
      </c>
      <c r="J502" s="58">
        <v>3454983</v>
      </c>
    </row>
    <row r="503" spans="1:10" ht="15">
      <c r="A503" s="58" t="s">
        <v>749</v>
      </c>
      <c r="B503" s="58" t="s">
        <v>809</v>
      </c>
      <c r="C503" s="58" t="s">
        <v>809</v>
      </c>
      <c r="D503" s="58" t="s">
        <v>800</v>
      </c>
      <c r="E503" s="58">
        <v>2106977</v>
      </c>
      <c r="F503" s="58">
        <v>32</v>
      </c>
      <c r="G503" s="58">
        <v>292555</v>
      </c>
      <c r="H503" s="69">
        <v>44758</v>
      </c>
      <c r="I503" s="88">
        <v>0.25</v>
      </c>
      <c r="J503" s="58">
        <v>2884876.26</v>
      </c>
    </row>
  </sheetData>
  <phoneticPr fontId="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4335-45CC-44F8-9A7C-DC6D3D1BFD02}">
  <sheetPr codeName="Sheet16"/>
  <dimension ref="B1:H58"/>
  <sheetViews>
    <sheetView workbookViewId="0">
      <selection activeCell="A3" sqref="A3"/>
    </sheetView>
  </sheetViews>
  <sheetFormatPr baseColWidth="10" defaultColWidth="8.6640625" defaultRowHeight="17"/>
  <cols>
    <col min="1" max="1" width="8.6640625" style="80"/>
    <col min="2" max="2" width="17.6640625" style="80" bestFit="1" customWidth="1"/>
    <col min="3" max="3" width="18.1640625" style="80" bestFit="1" customWidth="1"/>
    <col min="4" max="4" width="56.1640625" style="80" customWidth="1"/>
    <col min="5" max="5" width="23.1640625" style="80" bestFit="1" customWidth="1"/>
    <col min="6" max="6" width="8.5" style="80" bestFit="1" customWidth="1"/>
    <col min="7" max="7" width="16" style="80" customWidth="1"/>
    <col min="8" max="8" width="13.33203125" style="80" customWidth="1"/>
    <col min="9" max="16384" width="8.6640625" style="80"/>
  </cols>
  <sheetData>
    <row r="1" spans="2:8" s="121" customFormat="1" ht="30" customHeight="1"/>
    <row r="2" spans="2:8" s="127" customFormat="1" ht="5.5" customHeight="1"/>
    <row r="5" spans="2:8" ht="18" thickBot="1"/>
    <row r="6" spans="2:8" ht="18" thickBot="1">
      <c r="B6" s="154" t="s">
        <v>1120</v>
      </c>
      <c r="C6" s="155"/>
    </row>
    <row r="7" spans="2:8" ht="18">
      <c r="B7" s="74" t="s">
        <v>952</v>
      </c>
      <c r="C7" s="74" t="s">
        <v>1121</v>
      </c>
      <c r="D7" s="74" t="s">
        <v>1052</v>
      </c>
      <c r="E7" s="160" t="s">
        <v>1126</v>
      </c>
      <c r="F7" s="160"/>
      <c r="G7" s="160"/>
      <c r="H7" s="160"/>
    </row>
    <row r="8" spans="2:8" ht="18">
      <c r="B8" s="97">
        <v>1</v>
      </c>
      <c r="C8" s="97" t="s">
        <v>1053</v>
      </c>
      <c r="D8" s="96"/>
      <c r="E8" s="159"/>
      <c r="F8" s="159"/>
      <c r="G8" s="159"/>
      <c r="H8" s="159"/>
    </row>
    <row r="9" spans="2:8" ht="18">
      <c r="B9" s="97">
        <v>2</v>
      </c>
      <c r="C9" s="97" t="s">
        <v>1054</v>
      </c>
      <c r="D9" s="96"/>
      <c r="E9" s="159"/>
      <c r="F9" s="159"/>
      <c r="G9" s="159"/>
      <c r="H9" s="159"/>
    </row>
    <row r="10" spans="2:8" ht="18">
      <c r="B10" s="97">
        <v>3</v>
      </c>
      <c r="C10" s="97" t="s">
        <v>1055</v>
      </c>
      <c r="D10" s="96"/>
      <c r="E10" s="159"/>
      <c r="F10" s="159"/>
      <c r="G10" s="159"/>
      <c r="H10" s="159"/>
    </row>
    <row r="11" spans="2:8" ht="18">
      <c r="B11" s="97">
        <v>4</v>
      </c>
      <c r="C11" s="97" t="s">
        <v>1056</v>
      </c>
      <c r="D11" s="96"/>
      <c r="E11" s="159"/>
      <c r="F11" s="159"/>
      <c r="G11" s="159"/>
      <c r="H11" s="159"/>
    </row>
    <row r="12" spans="2:8" ht="18">
      <c r="B12" s="97">
        <v>5</v>
      </c>
      <c r="C12" s="97" t="s">
        <v>1057</v>
      </c>
      <c r="D12" s="96"/>
      <c r="E12" s="159"/>
      <c r="F12" s="159"/>
      <c r="G12" s="159"/>
      <c r="H12" s="159"/>
    </row>
    <row r="13" spans="2:8" ht="18">
      <c r="B13" s="97">
        <v>6</v>
      </c>
      <c r="C13" s="97" t="s">
        <v>1058</v>
      </c>
      <c r="D13" s="96"/>
      <c r="E13" s="159"/>
      <c r="F13" s="159"/>
      <c r="G13" s="159"/>
      <c r="H13" s="159"/>
    </row>
    <row r="14" spans="2:8" ht="18">
      <c r="B14" s="97">
        <v>7</v>
      </c>
      <c r="C14" s="97" t="s">
        <v>1059</v>
      </c>
      <c r="D14" s="96"/>
      <c r="E14" s="159"/>
      <c r="F14" s="159"/>
      <c r="G14" s="159"/>
      <c r="H14" s="159"/>
    </row>
    <row r="15" spans="2:8" ht="18">
      <c r="B15" s="97">
        <v>8</v>
      </c>
      <c r="C15" s="97" t="s">
        <v>1060</v>
      </c>
      <c r="D15" s="96"/>
      <c r="E15" s="159"/>
      <c r="F15" s="159"/>
      <c r="G15" s="159"/>
      <c r="H15" s="159"/>
    </row>
    <row r="16" spans="2:8" ht="18">
      <c r="B16" s="97">
        <v>9</v>
      </c>
      <c r="C16" s="97" t="s">
        <v>1061</v>
      </c>
      <c r="D16" s="96"/>
      <c r="E16" s="159"/>
      <c r="F16" s="159"/>
      <c r="G16" s="159"/>
      <c r="H16" s="159"/>
    </row>
    <row r="17" spans="2:8" ht="18">
      <c r="B17" s="97">
        <v>10</v>
      </c>
      <c r="C17" s="97" t="s">
        <v>1062</v>
      </c>
      <c r="D17" s="96"/>
      <c r="E17" s="159"/>
      <c r="F17" s="159"/>
      <c r="G17" s="159"/>
      <c r="H17" s="159"/>
    </row>
    <row r="18" spans="2:8" ht="18" thickBot="1"/>
    <row r="19" spans="2:8" ht="18" thickBot="1">
      <c r="B19" s="154" t="s">
        <v>1122</v>
      </c>
      <c r="C19" s="155"/>
    </row>
    <row r="20" spans="2:8" ht="18">
      <c r="B20" s="74" t="s">
        <v>952</v>
      </c>
      <c r="C20" s="74" t="s">
        <v>1063</v>
      </c>
      <c r="D20" s="74" t="s">
        <v>1073</v>
      </c>
      <c r="E20" s="160" t="s">
        <v>1074</v>
      </c>
      <c r="F20" s="160"/>
      <c r="G20" s="160"/>
      <c r="H20" s="160"/>
    </row>
    <row r="21" spans="2:8" ht="21.5" customHeight="1">
      <c r="B21" s="97">
        <v>1</v>
      </c>
      <c r="C21" s="97" t="s">
        <v>1064</v>
      </c>
      <c r="D21" s="96"/>
      <c r="E21" s="159"/>
      <c r="F21" s="159"/>
      <c r="G21" s="159"/>
      <c r="H21" s="159"/>
    </row>
    <row r="22" spans="2:8" ht="21.5" customHeight="1">
      <c r="B22" s="97">
        <v>2</v>
      </c>
      <c r="C22" s="97" t="s">
        <v>1065</v>
      </c>
      <c r="D22" s="96"/>
      <c r="E22" s="159"/>
      <c r="F22" s="159"/>
      <c r="G22" s="159"/>
      <c r="H22" s="159"/>
    </row>
    <row r="23" spans="2:8" ht="21.5" customHeight="1">
      <c r="B23" s="97">
        <v>3</v>
      </c>
      <c r="C23" s="97" t="s">
        <v>1066</v>
      </c>
      <c r="D23" s="96"/>
      <c r="E23" s="159"/>
      <c r="F23" s="159"/>
      <c r="G23" s="159"/>
      <c r="H23" s="159"/>
    </row>
    <row r="24" spans="2:8" ht="21.5" customHeight="1">
      <c r="B24" s="97">
        <v>4</v>
      </c>
      <c r="C24" s="97" t="s">
        <v>1067</v>
      </c>
      <c r="D24" s="96"/>
      <c r="E24" s="159"/>
      <c r="F24" s="159"/>
      <c r="G24" s="159"/>
      <c r="H24" s="159"/>
    </row>
    <row r="25" spans="2:8" ht="21.5" customHeight="1">
      <c r="B25" s="97">
        <v>5</v>
      </c>
      <c r="C25" s="97" t="s">
        <v>1068</v>
      </c>
      <c r="D25" s="96"/>
      <c r="E25" s="159"/>
      <c r="F25" s="159"/>
      <c r="G25" s="159"/>
      <c r="H25" s="159"/>
    </row>
    <row r="26" spans="2:8" ht="21.5" customHeight="1">
      <c r="B26" s="97">
        <v>6</v>
      </c>
      <c r="C26" s="97" t="s">
        <v>1069</v>
      </c>
      <c r="D26" s="96"/>
      <c r="E26" s="159"/>
      <c r="F26" s="159"/>
      <c r="G26" s="159"/>
      <c r="H26" s="159"/>
    </row>
    <row r="27" spans="2:8" ht="21.5" customHeight="1">
      <c r="B27" s="97">
        <v>7</v>
      </c>
      <c r="C27" s="97" t="s">
        <v>1070</v>
      </c>
      <c r="D27" s="96"/>
      <c r="E27" s="159"/>
      <c r="F27" s="159"/>
      <c r="G27" s="159"/>
      <c r="H27" s="159"/>
    </row>
    <row r="28" spans="2:8" ht="21.5" customHeight="1">
      <c r="B28" s="97">
        <v>8</v>
      </c>
      <c r="C28" s="97" t="s">
        <v>1071</v>
      </c>
      <c r="D28" s="96"/>
      <c r="E28" s="159"/>
      <c r="F28" s="159"/>
      <c r="G28" s="159"/>
      <c r="H28" s="159"/>
    </row>
    <row r="29" spans="2:8" ht="21.5" customHeight="1">
      <c r="B29" s="97">
        <v>9</v>
      </c>
      <c r="C29" s="97" t="s">
        <v>1072</v>
      </c>
      <c r="D29" s="96"/>
      <c r="E29" s="159"/>
      <c r="F29" s="159"/>
      <c r="G29" s="159"/>
      <c r="H29" s="159"/>
    </row>
    <row r="30" spans="2:8" ht="21.5" customHeight="1">
      <c r="B30" s="97">
        <v>10</v>
      </c>
      <c r="C30" s="97" t="s">
        <v>1127</v>
      </c>
      <c r="D30" s="96"/>
      <c r="E30" s="159"/>
      <c r="F30" s="159"/>
      <c r="G30" s="159"/>
      <c r="H30" s="159"/>
    </row>
    <row r="32" spans="2:8" ht="18" thickBot="1"/>
    <row r="33" spans="2:4" ht="18" thickBot="1">
      <c r="B33" s="154" t="s">
        <v>1128</v>
      </c>
      <c r="C33" s="155"/>
      <c r="D33" s="108" t="s">
        <v>1134</v>
      </c>
    </row>
    <row r="34" spans="2:4" ht="18">
      <c r="B34" s="109" t="s">
        <v>1136</v>
      </c>
      <c r="C34" s="156" t="s">
        <v>1137</v>
      </c>
      <c r="D34" s="157"/>
    </row>
    <row r="35" spans="2:4" ht="30" customHeight="1">
      <c r="B35" s="97" t="str" cm="1">
        <f t="array" ref="B35:B44">_xldudf_GPT_LIST("삼국지 대표적인 등장인물 10명")</f>
        <v>유비</v>
      </c>
      <c r="C35" s="158" t="str" cm="1">
        <f t="array" ref="C35">_xldudf_GPT_WEB("삼국지의"&amp;B35&amp;"에 대해 인물소개 40자이상")</f>
        <v>유비는 촉한의 초대 황제로, 161년 출생하여 223년 사망했습니다. 그는 전한 경제의 후손으로, 한을 부활시키려 했으며, 촉 지역에 기반을 둔 촉한을 세웠습니다. 유비는 어린 시절부터 어려운 환경에서 성장했으며, 관우와 장비와 함께 의형제를 맺었습니다. 그는 인재 등용에 뛰어난 안목을 가지고 있었으며, 특히 제갈량을 얻는 데 큰 노력을 기울였습니다. 유비는 관계 능력과 의지력이 뛰어났으며, 여러 번의 실패에도 불구하고 포기하지 않고 끝까지 도전했습니다. 그의 삶은 삼국지에서 중요한 역할을 하며, 후대에 큰 영향을 미쳤습니다.</v>
      </c>
      <c r="D35" s="158"/>
    </row>
    <row r="36" spans="2:4" ht="30" customHeight="1">
      <c r="B36" s="97" t="str">
        <v>관우</v>
      </c>
      <c r="C36" s="158" t="str" cm="1">
        <f t="array" ref="C36">_xldudf_GPT_WEB("삼국지의"&amp;B36&amp;"에 대해 인물소개 40자이상")</f>
        <v>관우(關羽)는 중국 후한 말의 무장으로, 자는 운장(雲長)입니다. 그는 유비와 장비와 함께 의형제를 맺고 촉한 건국에 큰 공헌을 했습니다. 충성심과 의리로 유명하며, 동아시아 문화권에서 가장 잘 알려진 인물 중 하나입니다. 관우는 용맹한 전사로 평가받으며, 특히 안량을 무찌른 전투가 유명합니다. 그는 219년에 손권의 군대에 의해 사로잡혀 참수되었습니다.</v>
      </c>
      <c r="D36" s="158"/>
    </row>
    <row r="37" spans="2:4" ht="30" customHeight="1">
      <c r="B37" s="97" t="str">
        <v>장비</v>
      </c>
      <c r="C37" s="158" t="str" cm="1">
        <f t="array" ref="C37">_xldudf_GPT_WEB("삼국지의"&amp;B37&amp;"에 대해 인물소개 40자이상")</f>
        <v>장비는 중국 후한 말기와 촉한 초기의 군인으로, 유비와 관우와 함께 삼국지의 주요 인물 중 하나입니다. 그의 이름은 **장페이**(張飛), 자는 **익덕**(益德)이며, 유주 탁군 출신입니다. 장비는 용맹함과 충성심으로 유명하며, 특히 **관우**와 함께 "만인지적"으로 불리며, 당시의 강력한 장수 중 하나로 평가받았습니다.
### 주요 활약
- **장판교 전투**: 조조군을 상대로 다리 위에서 홀로 버티며 조조군을 퇴각시켰습니다.
- **한중 전투**: 장합의 군대를 격파하고 승리하였습니다.
- **익주 정벌**: 엄안을 계략으로 사로잡아 성도로의 진군을 빠르게 진행시켰습니다.
### 인물상
장비는 **삼국지연의**에서 무식한 인물로 묘사되기도 하지만, 실제로는 지모도 갖춘 인물로 평가받습니다. 그는 여러 전투에서 계략을 사용해 승리하며, 유비의 주요 전투에서 결정적인 역할을 했습니다. 또한, 방통의 뛰어난 능력을 알아보고 유비에게 천거하기도 했습니다. 
### 평가
진수는 장비를 "관우에 버금가는 용맹"을 가진 인물로 평가하며, 당시의 강력한 장수로 인정받았습니다. 장비는 촉나라의 주요 장수로서, 그의 용맹과 충성은 후세에도 큰 영향을 미쳤습니다.</v>
      </c>
      <c r="D37" s="158"/>
    </row>
    <row r="38" spans="2:4" ht="30" customHeight="1">
      <c r="B38" s="97" t="str">
        <v>조조</v>
      </c>
      <c r="C38" s="158" t="str" cm="1">
        <f t="array" ref="C38">_xldudf_GPT_WEB("삼국지의"&amp;B38&amp;"에 대해 인물소개 40자이상")</f>
        <v>조조(曹操)는 중국 후한 말기의 관료이자 위나라의 건국자로, 패국 초현에서 태어났습니다. 그의 자는 맹덕이며, 어릴 때 이름은 아만입니다. 조조는 황건적 진압과 군벌 간의 전투에서 두각을 나타내며 위나라를 세웠습니다. 그는 정사에서는 뛰어난 인물로 평가받지만, 소설 '삼국지연의'에서는 악행을 대표하는 인물로 묘사됩니다.</v>
      </c>
      <c r="D38" s="158"/>
    </row>
    <row r="39" spans="2:4" ht="30" customHeight="1">
      <c r="B39" s="97" t="str">
        <v>손권</v>
      </c>
      <c r="C39" s="158" t="str" cm="1">
        <f t="array" ref="C39">_xldudf_GPT_WEB("삼국지의"&amp;B39&amp;"에 대해 인물소개 40자이상")</f>
        <v>손권(182-252)은 삼국지의 주요 인물로, 오나라의 창업자 손견과 손책의 뒤를 이어 오나라의 수장이 되었다. 그는 인재를 등용하고 신뢰하는 능력으로 유명하며, 적벽대전과 이릉 전투에서 조조와 유비를 격파하여 오나라의 안정을 유지했다. 그러나 말년에는 의심이 많아지며 독단적으로 행동했다. 229년에 황제로 등극하여 오나라를 세웠다.</v>
      </c>
      <c r="D39" s="158"/>
    </row>
    <row r="40" spans="2:4" ht="30" customHeight="1">
      <c r="B40" s="97" t="str">
        <v>제갈량</v>
      </c>
      <c r="C40" s="158" t="str" cm="1">
        <f t="array" ref="C40">_xldudf_GPT_WEB("삼국지의"&amp;B40&amp;"에 대해 인물소개 40자이상")</f>
        <v>제갈량(181년 ~ 234년)은 중국 삼국시대의 촉한의 재상으로, 자는 공명이며 별호는 와룡 또는 복룡입니다. 그는 유비를 도와 촉한을 건국하고, 북벌을 통해 위나라와의 전쟁을 지속했습니다. 정치와 행정에서 뛰어난 능력을 발휘했으며, 그의 출사표는 역사적으로 유명합니다. 제갈량은 법가와 유학을 결합한 정치관을 가지고 있었고, 촉한의 경제 성장을 이끌었습니다.</v>
      </c>
      <c r="D40" s="158"/>
    </row>
    <row r="41" spans="2:4" ht="30" customHeight="1">
      <c r="B41" s="97" t="str">
        <v>주유</v>
      </c>
      <c r="C41" s="158" t="str" cm="1">
        <f t="array" ref="C41">_xldudf_GPT_WEB("삼국지의"&amp;B41&amp;"에 대해 인물소개 40자이상")</f>
        <v>주유는 삼국지의 오나라 장수 중 하나로, 뛰어난 외모와 음악적 재능을 가졌습니다. 그는 손책과 손권에게 충성심을 보이며 여러 전투에서 공을 세웠습니다. 특히 적벽 대전에서 조조군을 격파하는 데 중요한 역할을 했습니다. 실제 역사에서는 제갈량과의 대립보다는 오나라의 세력 강화에 집중한 인물로 평가됩니다.</v>
      </c>
      <c r="D41" s="158"/>
    </row>
    <row r="42" spans="2:4" ht="30" customHeight="1">
      <c r="B42" s="97" t="str">
        <v>여포</v>
      </c>
      <c r="C42" s="158" t="str" cm="1">
        <f t="array" ref="C42">_xldudf_GPT_WEB("삼국지의"&amp;B42&amp;"에 대해 인물소개 40자이상")</f>
        <v>여포는 **병주** 출신으로, 후한 말기의 뛰어난 무장입니다. 그는 **동탁**의 부하로 시작하여 이후 여러 주군을 거치며 명성을 떨쳤습니다. **적토**라는 명마를 타고 다니며 "사람 중엔 여포가 있고, 말에는 적토가 있다"라는 말이 있을 정도로 유명했습니다. 그러나 리더십과 신뢰성은 부족했으며, 결국 **하비 전투**에서 패배하여 처형되었습니다. 주요 부하로는 **장료**, **진궁**, **고순** 등이 있습니다.</v>
      </c>
      <c r="D42" s="158"/>
    </row>
    <row r="43" spans="2:4" ht="30" customHeight="1">
      <c r="B43" s="97" t="str">
        <v>동탁</v>
      </c>
      <c r="C43" s="158" t="str" cm="1">
        <f t="array" ref="C43">_xldudf_GPT_WEB("삼국지의"&amp;B43&amp;"에 대해 인물소개 40자이상")</f>
        <v>동탁(董卓)은 중국 후한 말기의 군웅이자 정치가로, 자는 중영(仲穎)이며, 농서 임조현 출신입니다. 그는 정치적 혼란을 틈타 정권을 장악하고 폭정을 펼쳤으며, 소제를 폐위하고 유협을 헌제로 즉위시켰습니다. 그의 폭정은 결국 왕윤과 여포의 배신으로 끝났습니다. 동탁은 중국사에서 대표적인 악인으로 회자됩니다.</v>
      </c>
      <c r="D43" s="158"/>
    </row>
    <row r="44" spans="2:4" ht="30" customHeight="1">
      <c r="B44" s="97" t="str">
        <v>조운</v>
      </c>
      <c r="C44" s="158" t="str" cm="1">
        <f t="array" ref="C44">_xldudf_GPT_WEB("삼국지의"&amp;B44&amp;"에 대해 인물소개 40자이상")</f>
        <v>조운(趙雲)은 중국 후한 말기와 삼국 시대 촉한의 무장으로, 자는 자룡(子龍)입니다. 그는 기주 상산군 진정현 출신으로, 원소와 공손찬 휘하에서 시작하여 유비를 따라 제업에 공헌했습니다. 특히 장판 전투에서 유비의 아들과 아내를 구출한 일화가 유명합니다. 조운은 충성과 용맹함으로 평가받으며, 지혜와 통찰력도 뛰어났습니다.</v>
      </c>
      <c r="D44" s="158"/>
    </row>
    <row r="46" spans="2:4" ht="18" thickBot="1"/>
    <row r="47" spans="2:4" ht="18" thickBot="1">
      <c r="B47" s="154" t="s">
        <v>1133</v>
      </c>
      <c r="C47" s="155"/>
      <c r="D47" s="108" t="s">
        <v>1129</v>
      </c>
    </row>
    <row r="48" spans="2:4" ht="18">
      <c r="B48" s="74" t="str" cm="1">
        <f t="array" ref="B48:C58">_xldudf_GPT_TABLE("NVIDIA GPU정류 10가지를 번호컬럼, GPU종류컬럼로 리스트업해줘")</f>
        <v>번호</v>
      </c>
      <c r="C48" s="74" t="str">
        <v>GPU 종류</v>
      </c>
      <c r="D48" s="74" t="s">
        <v>1137</v>
      </c>
    </row>
    <row r="49" spans="2:4" ht="35" customHeight="1">
      <c r="B49" s="97" t="str">
        <v>1</v>
      </c>
      <c r="C49" s="97" t="str">
        <v>GeForce RTX 4090</v>
      </c>
      <c r="D49" s="98" t="str" cm="1">
        <f t="array" ref="D49">_xldudf_GPT_WEB(C49,"기능설명 짧게 100자내외 서술형")</f>
        <v>NVIDIA GeForce RTX 4090: 16,384 CUDA 코어, 512 텐서 코어, 24GB GDDR6X 메모리, 고성능 AI 및 게임 성능 제공.</v>
      </c>
    </row>
    <row r="50" spans="2:4" ht="35" customHeight="1">
      <c r="B50" s="97" t="str">
        <v>2</v>
      </c>
      <c r="C50" s="97" t="str">
        <v>GeForce RTX 4080</v>
      </c>
      <c r="D50" s="98" t="str" cm="1">
        <f t="array" ref="D50">_xldudf_GPT_WEB(C50,"기능설명 짧게 100자내외 서술형")</f>
        <v>GeForce RTX 4080: Ada Lovelace 아키텍처, DLSS 3, 3세대 RT 코어, 4세대 Tensor 코어, 16GB GDDR6X 메모리.</v>
      </c>
    </row>
    <row r="51" spans="2:4" ht="35" customHeight="1">
      <c r="B51" s="97" t="str">
        <v>3</v>
      </c>
      <c r="C51" s="97" t="str">
        <v>GeForce RTX 4070</v>
      </c>
      <c r="D51" s="98" t="str" cm="1">
        <f t="array" ref="D51">_xldudf_GPT_WEB(C51,"기능설명 짧게 100자내외 서술형")</f>
        <v>GeForce RTX 4070은 Ada Lovelace 아키텍처 기반으로 DLSS 3, 실시간 레이 트레이싱, 1440p 해상도에서 100프레임 이상 지원하며, AI 가속 및 전력 효율성을 제공합니다.</v>
      </c>
    </row>
    <row r="52" spans="2:4" ht="35" customHeight="1">
      <c r="B52" s="97" t="str">
        <v>4</v>
      </c>
      <c r="C52" s="97" t="str">
        <v>GeForce RTX 4060</v>
      </c>
      <c r="D52" s="98" t="str" cm="1">
        <f t="array" ref="D52">_xldudf_GPT_WEB(C52,"기능설명 짧게 100자내외 서술형")</f>
        <v>GeForce RTX 4060은 24MB L2 캐시와 8GB GDDR6를 갖추고 있으며, DLSS 3와 3세대 레이 트레이싱 기술을 지원합니다. 이는 AI 기반 성능 향상과 높은 프레임률을 제공합니다.</v>
      </c>
    </row>
    <row r="53" spans="2:4" ht="35" customHeight="1">
      <c r="B53" s="97" t="str">
        <v>5</v>
      </c>
      <c r="C53" s="97" t="str">
        <v>GeForce RTX 3090</v>
      </c>
      <c r="D53" s="98" t="str" cm="1">
        <f t="array" ref="D53">_xldudf_GPT_WEB(C53,"기능설명 짧게 100자내외 서술형")</f>
        <v>GeForce RTX 3090은 24GB GDDR6X 메모리, 2세대 RT 코어, 3세대 Tensor 코어를 갖추고 있어 레이 트레이싱, AI 기반 DLSS, 8K 해상도 지원을 제공합니다. NVIDIA Reflex와 G-SYNC 기술로 낮은 지연 시간과 높은 반응성을 제공합니다.</v>
      </c>
    </row>
    <row r="54" spans="2:4" ht="35" customHeight="1">
      <c r="B54" s="97" t="str">
        <v>6</v>
      </c>
      <c r="C54" s="97" t="str">
        <v>GeForce RTX 3080</v>
      </c>
      <c r="D54" s="98" t="str" cm="1">
        <f t="array" ref="D54">_xldudf_GPT_WEB(C54,"기능설명 짧게 100자내외 서술형")</f>
        <v>GeForce RTX 3080은 2세대 RT 코어와 3세대 Tensor 코어를 탑재하여 레이 트레이싱과 AI 성능을 강화합니다. NVIDIA DLSS 기술로 프레임 속도를 높이며, 고성능 게임과 크리에이티브 작업에 최적화되어 있습니다.</v>
      </c>
    </row>
    <row r="55" spans="2:4" ht="35" customHeight="1">
      <c r="B55" s="97" t="str">
        <v>7</v>
      </c>
      <c r="C55" s="97" t="str">
        <v>GeForce RTX 3070</v>
      </c>
      <c r="D55" s="98" t="str" cm="1">
        <f t="array" ref="D55">_xldudf_GPT_WEB(C55,"기능설명 짧게 100자내외 서술형")</f>
        <v>GeForce RTX 3070은 2세대 RT 코어, 3세대 텐서 코어, 8GB GDDR6 메모리를 탑재한 그래픽 카드로, 레이 트레이싱, AI 가속, 빠른 프레임 속도를 제공합니다.</v>
      </c>
    </row>
    <row r="56" spans="2:4" ht="35" customHeight="1">
      <c r="B56" s="97" t="str">
        <v>8</v>
      </c>
      <c r="C56" s="97" t="str">
        <v>GeForce RTX 3060</v>
      </c>
      <c r="D56" s="98" t="str" cm="1">
        <f t="array" ref="D56">_xldudf_GPT_WEB(C56,"기능설명 짧게 100자내외 서술형")</f>
        <v>지포스 RTX 3060은 암페어 아키텍처 기반으로 레이 트레이싱 성능이 GTX 1060보다 10배 향상되며, DLSS, 리플렉스, 브로드캐스트 기술을 지원합니다. 12GB GDDR6 메모리와 리사이저블 BAR 기능을 제공합니다.</v>
      </c>
    </row>
    <row r="57" spans="2:4" ht="35" customHeight="1">
      <c r="B57" s="97" t="str">
        <v>9</v>
      </c>
      <c r="C57" s="97" t="str">
        <v>GeForce GTX 1660 Ti</v>
      </c>
      <c r="D57" s="98" t="str" cm="1">
        <f t="array" ref="D57">_xldudf_GPT_WEB(C57,"기능설명 짧게 100자내외 서술형")</f>
        <v>GeForce GTX 1660 Ti는 NVIDIA Turing 아키텍처를 기반으로 하며, 1,536 CUDA 코어와 6GB GDDR6 메모리를 갖추고 있습니다. 1080p에서 120fps로 게임을 실행할 수 있으며, GeForce Experience 기능을 포함하고 있습니다.</v>
      </c>
    </row>
    <row r="58" spans="2:4" ht="35" customHeight="1">
      <c r="B58" s="97" t="str">
        <v>10</v>
      </c>
      <c r="C58" s="97" t="str">
        <v>GeForce GTX 1650</v>
      </c>
      <c r="D58" s="98" t="str" cm="1">
        <f t="array" ref="D58">_xldudf_GPT_WEB(C58,"기능설명 짧게 100자내외 서술형")</f>
        <v>GeForce GTX 1650은 **NVIDIA Turing 아키텍처**를 기반으로 하며, **896개의 CUDA 코어**와 **4GB GDDR5/GDDR6 메모리**를 갖추고 있습니다. 이 카드는 **1080p 해상도**에서 적당한 성능을 제공하며, **레이 트레이싱 및 DLSS**는 지원하지 않습니다.</v>
      </c>
    </row>
  </sheetData>
  <mergeCells count="37">
    <mergeCell ref="B6:C6"/>
    <mergeCell ref="B19:C19"/>
    <mergeCell ref="E27:H27"/>
    <mergeCell ref="E28:H28"/>
    <mergeCell ref="E29:H29"/>
    <mergeCell ref="E13:H13"/>
    <mergeCell ref="E14:H14"/>
    <mergeCell ref="E15:H15"/>
    <mergeCell ref="E16:H16"/>
    <mergeCell ref="E17:H17"/>
    <mergeCell ref="E20:H20"/>
    <mergeCell ref="E7:H7"/>
    <mergeCell ref="E8:H8"/>
    <mergeCell ref="E9:H9"/>
    <mergeCell ref="E10:H10"/>
    <mergeCell ref="E11:H11"/>
    <mergeCell ref="E12:H12"/>
    <mergeCell ref="C42:D42"/>
    <mergeCell ref="C43:D43"/>
    <mergeCell ref="C44:D44"/>
    <mergeCell ref="B33:C33"/>
    <mergeCell ref="E30:H30"/>
    <mergeCell ref="E21:H21"/>
    <mergeCell ref="E22:H22"/>
    <mergeCell ref="E23:H23"/>
    <mergeCell ref="E24:H24"/>
    <mergeCell ref="E25:H25"/>
    <mergeCell ref="E26:H26"/>
    <mergeCell ref="B47:C47"/>
    <mergeCell ref="C34:D34"/>
    <mergeCell ref="C35:D35"/>
    <mergeCell ref="C36:D36"/>
    <mergeCell ref="C37:D37"/>
    <mergeCell ref="C38:D38"/>
    <mergeCell ref="C39:D39"/>
    <mergeCell ref="C40:D40"/>
    <mergeCell ref="C41:D41"/>
  </mergeCells>
  <phoneticPr fontId="3"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6D13D-FDD8-46B7-A6A1-B5E2B420FCF7}">
  <sheetPr codeName="Sheet15"/>
  <dimension ref="B1:J76"/>
  <sheetViews>
    <sheetView workbookViewId="0">
      <selection activeCell="A3" sqref="A3"/>
    </sheetView>
  </sheetViews>
  <sheetFormatPr baseColWidth="10" defaultColWidth="8.6640625" defaultRowHeight="17"/>
  <cols>
    <col min="1" max="2" width="8.6640625" style="80"/>
    <col min="3" max="3" width="41.1640625" style="80" customWidth="1"/>
    <col min="4" max="4" width="45.33203125" style="80" customWidth="1"/>
    <col min="5" max="5" width="13.5" style="80" customWidth="1"/>
    <col min="6" max="6" width="13" style="80" bestFit="1" customWidth="1"/>
    <col min="7" max="8" width="11.33203125" style="80" customWidth="1"/>
    <col min="9" max="12" width="12.83203125" style="80" customWidth="1"/>
    <col min="13" max="16384" width="8.6640625" style="80"/>
  </cols>
  <sheetData>
    <row r="1" spans="2:10" s="121" customFormat="1" ht="30" customHeight="1"/>
    <row r="2" spans="2:10" s="127" customFormat="1" ht="5.5" customHeight="1"/>
    <row r="3" spans="2:10" ht="18" thickBot="1"/>
    <row r="4" spans="2:10" ht="18" thickBot="1">
      <c r="B4" s="154" t="s">
        <v>1117</v>
      </c>
      <c r="C4" s="155"/>
    </row>
    <row r="5" spans="2:10" ht="18">
      <c r="B5" s="107" t="s">
        <v>779</v>
      </c>
      <c r="C5" s="107" t="s">
        <v>931</v>
      </c>
      <c r="D5" s="74" t="s">
        <v>932</v>
      </c>
    </row>
    <row r="6" spans="2:10" ht="47.5" customHeight="1">
      <c r="B6" s="75" t="s">
        <v>933</v>
      </c>
      <c r="C6" s="75" t="s">
        <v>934</v>
      </c>
      <c r="D6" s="75"/>
    </row>
    <row r="7" spans="2:10" ht="47.5" customHeight="1">
      <c r="B7" s="75" t="s">
        <v>935</v>
      </c>
      <c r="C7" s="75" t="s">
        <v>936</v>
      </c>
      <c r="D7" s="75"/>
    </row>
    <row r="8" spans="2:10" ht="18" customHeight="1" thickBot="1">
      <c r="B8" s="104"/>
      <c r="C8" s="104"/>
      <c r="D8" s="104"/>
    </row>
    <row r="9" spans="2:10" ht="18" thickBot="1">
      <c r="B9" s="154" t="s">
        <v>1118</v>
      </c>
      <c r="C9" s="155"/>
    </row>
    <row r="10" spans="2:10" ht="18">
      <c r="B10" s="74" t="s">
        <v>938</v>
      </c>
      <c r="C10" s="74" t="s">
        <v>941</v>
      </c>
      <c r="D10" s="74" t="s">
        <v>940</v>
      </c>
      <c r="E10" s="162" t="s">
        <v>939</v>
      </c>
      <c r="F10" s="162"/>
      <c r="G10" s="162"/>
      <c r="H10" s="162" t="s">
        <v>1075</v>
      </c>
      <c r="I10" s="162"/>
      <c r="J10" s="162"/>
    </row>
    <row r="11" spans="2:10" ht="32" customHeight="1">
      <c r="B11" s="97">
        <v>1</v>
      </c>
      <c r="C11" s="98" t="s">
        <v>942</v>
      </c>
      <c r="D11" s="75"/>
      <c r="E11" s="161"/>
      <c r="F11" s="161"/>
      <c r="G11" s="161"/>
      <c r="H11" s="161"/>
      <c r="I11" s="161"/>
      <c r="J11" s="161"/>
    </row>
    <row r="12" spans="2:10" ht="32" customHeight="1">
      <c r="B12" s="97">
        <v>2</v>
      </c>
      <c r="C12" s="98" t="s">
        <v>943</v>
      </c>
      <c r="D12" s="75"/>
      <c r="E12" s="161"/>
      <c r="F12" s="161"/>
      <c r="G12" s="161"/>
      <c r="H12" s="161"/>
      <c r="I12" s="161"/>
      <c r="J12" s="161"/>
    </row>
    <row r="13" spans="2:10" ht="32" customHeight="1">
      <c r="B13" s="97">
        <v>3</v>
      </c>
      <c r="C13" s="98" t="s">
        <v>944</v>
      </c>
      <c r="D13" s="75"/>
      <c r="E13" s="161"/>
      <c r="F13" s="161"/>
      <c r="G13" s="161"/>
      <c r="H13" s="161"/>
      <c r="I13" s="161"/>
      <c r="J13" s="161"/>
    </row>
    <row r="14" spans="2:10" ht="32" customHeight="1">
      <c r="B14" s="97">
        <v>4</v>
      </c>
      <c r="C14" s="98" t="s">
        <v>945</v>
      </c>
      <c r="D14" s="75"/>
      <c r="E14" s="161"/>
      <c r="F14" s="161"/>
      <c r="G14" s="161"/>
      <c r="H14" s="161"/>
      <c r="I14" s="161"/>
      <c r="J14" s="161"/>
    </row>
    <row r="15" spans="2:10" ht="32" customHeight="1">
      <c r="B15" s="97">
        <v>5</v>
      </c>
      <c r="C15" s="98" t="s">
        <v>946</v>
      </c>
      <c r="D15" s="75"/>
      <c r="E15" s="161"/>
      <c r="F15" s="161"/>
      <c r="G15" s="161"/>
      <c r="H15" s="161"/>
      <c r="I15" s="161"/>
      <c r="J15" s="161"/>
    </row>
    <row r="16" spans="2:10" ht="32" customHeight="1">
      <c r="B16" s="97">
        <v>6</v>
      </c>
      <c r="C16" s="98" t="s">
        <v>947</v>
      </c>
      <c r="D16" s="75"/>
      <c r="E16" s="161"/>
      <c r="F16" s="161"/>
      <c r="G16" s="161"/>
      <c r="H16" s="161"/>
      <c r="I16" s="161"/>
      <c r="J16" s="161"/>
    </row>
    <row r="17" spans="2:10" ht="32" customHeight="1">
      <c r="B17" s="97">
        <v>7</v>
      </c>
      <c r="C17" s="98" t="s">
        <v>948</v>
      </c>
      <c r="D17" s="75"/>
      <c r="E17" s="161"/>
      <c r="F17" s="161"/>
      <c r="G17" s="161"/>
      <c r="H17" s="161"/>
      <c r="I17" s="161"/>
      <c r="J17" s="161"/>
    </row>
    <row r="18" spans="2:10" ht="32" customHeight="1">
      <c r="B18" s="97">
        <v>8</v>
      </c>
      <c r="C18" s="98" t="s">
        <v>949</v>
      </c>
      <c r="D18" s="75"/>
      <c r="E18" s="161"/>
      <c r="F18" s="161"/>
      <c r="G18" s="161"/>
      <c r="H18" s="161"/>
      <c r="I18" s="161"/>
      <c r="J18" s="161"/>
    </row>
    <row r="19" spans="2:10" ht="32" customHeight="1">
      <c r="B19" s="97">
        <v>9</v>
      </c>
      <c r="C19" s="98" t="s">
        <v>950</v>
      </c>
      <c r="D19" s="75"/>
      <c r="E19" s="161"/>
      <c r="F19" s="161"/>
      <c r="G19" s="161"/>
      <c r="H19" s="161"/>
      <c r="I19" s="161"/>
      <c r="J19" s="161"/>
    </row>
    <row r="20" spans="2:10" ht="32" customHeight="1">
      <c r="B20" s="97">
        <v>10</v>
      </c>
      <c r="C20" s="98" t="s">
        <v>951</v>
      </c>
      <c r="D20" s="75"/>
      <c r="E20" s="161"/>
      <c r="F20" s="161"/>
      <c r="G20" s="161"/>
      <c r="H20" s="161"/>
      <c r="I20" s="161"/>
      <c r="J20" s="161"/>
    </row>
    <row r="21" spans="2:10" ht="18" thickBot="1"/>
    <row r="22" spans="2:10" ht="18" thickBot="1">
      <c r="B22" s="154" t="s">
        <v>1119</v>
      </c>
      <c r="C22" s="155"/>
    </row>
    <row r="23" spans="2:10" ht="18">
      <c r="B23" s="74" t="s">
        <v>952</v>
      </c>
      <c r="C23" s="74" t="s">
        <v>1005</v>
      </c>
      <c r="D23" s="74" t="s">
        <v>1006</v>
      </c>
      <c r="E23" s="74" t="s">
        <v>1004</v>
      </c>
      <c r="F23" s="74" t="s">
        <v>1076</v>
      </c>
    </row>
    <row r="24" spans="2:10" ht="18">
      <c r="B24" s="97">
        <v>1</v>
      </c>
      <c r="C24" s="75" t="s">
        <v>1007</v>
      </c>
      <c r="D24" s="75" t="s">
        <v>1008</v>
      </c>
      <c r="E24" s="96"/>
      <c r="F24" s="96"/>
    </row>
    <row r="25" spans="2:10" ht="18">
      <c r="B25" s="97">
        <v>2</v>
      </c>
      <c r="C25" s="75" t="s">
        <v>1009</v>
      </c>
      <c r="D25" s="75" t="s">
        <v>1010</v>
      </c>
      <c r="E25" s="96"/>
      <c r="F25" s="96"/>
    </row>
    <row r="26" spans="2:10" ht="18">
      <c r="B26" s="97">
        <v>3</v>
      </c>
      <c r="C26" s="75" t="s">
        <v>1011</v>
      </c>
      <c r="D26" s="75" t="s">
        <v>1012</v>
      </c>
      <c r="E26" s="96"/>
      <c r="F26" s="96"/>
    </row>
    <row r="27" spans="2:10" ht="18">
      <c r="B27" s="97">
        <v>4</v>
      </c>
      <c r="C27" s="75" t="s">
        <v>1013</v>
      </c>
      <c r="D27" s="75" t="s">
        <v>1014</v>
      </c>
      <c r="E27" s="96"/>
      <c r="F27" s="96"/>
    </row>
    <row r="28" spans="2:10" ht="18">
      <c r="B28" s="97">
        <v>5</v>
      </c>
      <c r="C28" s="75" t="s">
        <v>1015</v>
      </c>
      <c r="D28" s="75" t="s">
        <v>1016</v>
      </c>
      <c r="E28" s="96"/>
      <c r="F28" s="96"/>
    </row>
    <row r="29" spans="2:10" ht="18">
      <c r="B29" s="97">
        <v>6</v>
      </c>
      <c r="C29" s="75" t="s">
        <v>1017</v>
      </c>
      <c r="D29" s="75" t="s">
        <v>1018</v>
      </c>
      <c r="E29" s="96"/>
      <c r="F29" s="96"/>
    </row>
    <row r="30" spans="2:10" ht="18">
      <c r="B30" s="97">
        <v>7</v>
      </c>
      <c r="C30" s="75" t="s">
        <v>1019</v>
      </c>
      <c r="D30" s="75" t="s">
        <v>1020</v>
      </c>
      <c r="E30" s="96"/>
      <c r="F30" s="96"/>
    </row>
    <row r="31" spans="2:10" ht="18">
      <c r="B31" s="97">
        <v>8</v>
      </c>
      <c r="C31" s="75" t="s">
        <v>1021</v>
      </c>
      <c r="D31" s="75" t="s">
        <v>1022</v>
      </c>
      <c r="E31" s="96"/>
      <c r="F31" s="96"/>
    </row>
    <row r="32" spans="2:10" ht="18">
      <c r="B32" s="97">
        <v>9</v>
      </c>
      <c r="C32" s="75" t="s">
        <v>1023</v>
      </c>
      <c r="D32" s="75" t="s">
        <v>1024</v>
      </c>
      <c r="E32" s="96"/>
      <c r="F32" s="96"/>
    </row>
    <row r="33" spans="2:8" ht="18">
      <c r="B33" s="97">
        <v>10</v>
      </c>
      <c r="C33" s="75" t="s">
        <v>1025</v>
      </c>
      <c r="D33" s="75" t="s">
        <v>1026</v>
      </c>
      <c r="E33" s="96"/>
      <c r="F33" s="96"/>
    </row>
    <row r="34" spans="2:8" ht="18">
      <c r="B34" s="97">
        <v>11</v>
      </c>
      <c r="C34" s="75" t="s">
        <v>1027</v>
      </c>
      <c r="D34" s="75" t="s">
        <v>1028</v>
      </c>
      <c r="E34" s="96"/>
      <c r="F34" s="96"/>
    </row>
    <row r="35" spans="2:8" ht="18">
      <c r="B35" s="97">
        <v>12</v>
      </c>
      <c r="C35" s="75" t="s">
        <v>1029</v>
      </c>
      <c r="D35" s="75" t="s">
        <v>1030</v>
      </c>
      <c r="E35" s="96"/>
      <c r="F35" s="96"/>
    </row>
    <row r="36" spans="2:8" ht="18">
      <c r="B36" s="97">
        <v>13</v>
      </c>
      <c r="C36" s="75" t="s">
        <v>1031</v>
      </c>
      <c r="D36" s="75" t="s">
        <v>1032</v>
      </c>
      <c r="E36" s="96"/>
      <c r="F36" s="96"/>
    </row>
    <row r="37" spans="2:8" ht="18">
      <c r="B37" s="97">
        <v>14</v>
      </c>
      <c r="C37" s="75" t="s">
        <v>1033</v>
      </c>
      <c r="D37" s="75" t="s">
        <v>1034</v>
      </c>
      <c r="E37" s="96"/>
      <c r="F37" s="96"/>
    </row>
    <row r="38" spans="2:8" ht="18">
      <c r="B38" s="97">
        <v>15</v>
      </c>
      <c r="C38" s="75" t="s">
        <v>1035</v>
      </c>
      <c r="D38" s="75" t="s">
        <v>1036</v>
      </c>
      <c r="E38" s="96"/>
      <c r="F38" s="96"/>
    </row>
    <row r="39" spans="2:8">
      <c r="B39" s="103"/>
      <c r="C39" s="104"/>
      <c r="D39" s="104"/>
    </row>
    <row r="40" spans="2:8" ht="18" thickBot="1"/>
    <row r="41" spans="2:8" ht="18" thickBot="1">
      <c r="B41" s="154" t="s">
        <v>1123</v>
      </c>
      <c r="C41" s="155"/>
    </row>
    <row r="42" spans="2:8" ht="18">
      <c r="B42" s="74" t="s">
        <v>952</v>
      </c>
      <c r="C42" s="74" t="s">
        <v>1097</v>
      </c>
      <c r="D42" s="74" t="s">
        <v>1097</v>
      </c>
      <c r="E42" s="160" t="s">
        <v>1098</v>
      </c>
      <c r="F42" s="160"/>
      <c r="G42" s="160"/>
      <c r="H42" s="160"/>
    </row>
    <row r="43" spans="2:8" ht="18">
      <c r="B43" s="97">
        <v>1</v>
      </c>
      <c r="C43" s="105" t="s">
        <v>1077</v>
      </c>
      <c r="D43" s="106" t="s">
        <v>1082</v>
      </c>
      <c r="E43" s="159"/>
      <c r="F43" s="159"/>
      <c r="G43" s="159"/>
      <c r="H43" s="159"/>
    </row>
    <row r="44" spans="2:8" ht="18">
      <c r="B44" s="97">
        <v>2</v>
      </c>
      <c r="C44" s="105" t="s">
        <v>1079</v>
      </c>
      <c r="D44" s="106" t="s">
        <v>1088</v>
      </c>
      <c r="E44" s="159"/>
      <c r="F44" s="159"/>
      <c r="G44" s="159"/>
      <c r="H44" s="159"/>
    </row>
    <row r="45" spans="2:8" ht="18">
      <c r="B45" s="97">
        <v>3</v>
      </c>
      <c r="C45" s="105" t="s">
        <v>1081</v>
      </c>
      <c r="D45" s="106" t="s">
        <v>1080</v>
      </c>
      <c r="E45" s="159"/>
      <c r="F45" s="159"/>
      <c r="G45" s="159"/>
      <c r="H45" s="159"/>
    </row>
    <row r="46" spans="2:8" ht="18">
      <c r="B46" s="97">
        <v>4</v>
      </c>
      <c r="C46" s="105" t="s">
        <v>1083</v>
      </c>
      <c r="D46" s="106" t="s">
        <v>1084</v>
      </c>
      <c r="E46" s="159"/>
      <c r="F46" s="159"/>
      <c r="G46" s="159"/>
      <c r="H46" s="159"/>
    </row>
    <row r="47" spans="2:8" ht="18">
      <c r="B47" s="97">
        <v>5</v>
      </c>
      <c r="C47" s="105" t="s">
        <v>1085</v>
      </c>
      <c r="D47" s="106" t="s">
        <v>1094</v>
      </c>
      <c r="E47" s="159"/>
      <c r="F47" s="159"/>
      <c r="G47" s="159"/>
      <c r="H47" s="159"/>
    </row>
    <row r="48" spans="2:8" ht="18">
      <c r="B48" s="97">
        <v>6</v>
      </c>
      <c r="C48" s="105" t="s">
        <v>1087</v>
      </c>
      <c r="D48" s="106" t="s">
        <v>1086</v>
      </c>
      <c r="E48" s="159"/>
      <c r="F48" s="159"/>
      <c r="G48" s="159"/>
      <c r="H48" s="159"/>
    </row>
    <row r="49" spans="2:8" ht="18">
      <c r="B49" s="97">
        <v>7</v>
      </c>
      <c r="C49" s="105" t="s">
        <v>1089</v>
      </c>
      <c r="D49" s="106" t="s">
        <v>1090</v>
      </c>
      <c r="E49" s="159"/>
      <c r="F49" s="159"/>
      <c r="G49" s="159"/>
      <c r="H49" s="159"/>
    </row>
    <row r="50" spans="2:8" ht="18">
      <c r="B50" s="97">
        <v>8</v>
      </c>
      <c r="C50" s="105" t="s">
        <v>1091</v>
      </c>
      <c r="D50" s="106" t="s">
        <v>1092</v>
      </c>
      <c r="E50" s="159"/>
      <c r="F50" s="159"/>
      <c r="G50" s="159"/>
      <c r="H50" s="159"/>
    </row>
    <row r="51" spans="2:8" ht="18">
      <c r="B51" s="97">
        <v>9</v>
      </c>
      <c r="C51" s="105" t="s">
        <v>1093</v>
      </c>
      <c r="D51" s="106" t="s">
        <v>1096</v>
      </c>
      <c r="E51" s="159"/>
      <c r="F51" s="159"/>
      <c r="G51" s="159"/>
      <c r="H51" s="159"/>
    </row>
    <row r="52" spans="2:8" ht="18">
      <c r="B52" s="97">
        <v>10</v>
      </c>
      <c r="C52" s="105" t="s">
        <v>1095</v>
      </c>
      <c r="D52" s="106" t="s">
        <v>1078</v>
      </c>
      <c r="E52" s="159"/>
      <c r="F52" s="159"/>
      <c r="G52" s="159"/>
      <c r="H52" s="159"/>
    </row>
    <row r="54" spans="2:8" ht="18" thickBot="1"/>
    <row r="55" spans="2:8" ht="18" thickBot="1">
      <c r="B55" s="154" t="s">
        <v>1124</v>
      </c>
      <c r="C55" s="155"/>
    </row>
    <row r="56" spans="2:8">
      <c r="B56" s="99" t="s">
        <v>952</v>
      </c>
      <c r="C56" s="99" t="s">
        <v>1125</v>
      </c>
      <c r="D56" s="99" t="s">
        <v>12</v>
      </c>
      <c r="E56" s="99" t="s">
        <v>953</v>
      </c>
      <c r="F56" s="99" t="s">
        <v>857</v>
      </c>
      <c r="G56" s="99" t="s">
        <v>954</v>
      </c>
    </row>
    <row r="57" spans="2:8">
      <c r="B57" s="96">
        <v>1</v>
      </c>
      <c r="C57" s="96" t="s">
        <v>955</v>
      </c>
      <c r="D57" s="96" t="s">
        <v>957</v>
      </c>
      <c r="E57" s="100">
        <v>45696</v>
      </c>
      <c r="F57" s="101">
        <v>6500</v>
      </c>
      <c r="G57" s="96" t="s">
        <v>956</v>
      </c>
    </row>
    <row r="58" spans="2:8">
      <c r="B58" s="96">
        <v>2</v>
      </c>
      <c r="C58" s="96" t="s">
        <v>958</v>
      </c>
      <c r="D58" s="96" t="s">
        <v>960</v>
      </c>
      <c r="E58" s="100">
        <v>45695</v>
      </c>
      <c r="F58" s="101">
        <v>12000</v>
      </c>
      <c r="G58" s="96" t="s">
        <v>959</v>
      </c>
    </row>
    <row r="59" spans="2:8">
      <c r="B59" s="96">
        <v>3</v>
      </c>
      <c r="C59" s="96" t="s">
        <v>961</v>
      </c>
      <c r="D59" s="96" t="s">
        <v>962</v>
      </c>
      <c r="E59" s="100">
        <v>45694</v>
      </c>
      <c r="F59" s="101">
        <v>85000</v>
      </c>
      <c r="G59" s="96" t="s">
        <v>956</v>
      </c>
    </row>
    <row r="60" spans="2:8">
      <c r="B60" s="96">
        <v>4</v>
      </c>
      <c r="C60" s="96" t="s">
        <v>963</v>
      </c>
      <c r="D60" s="96" t="s">
        <v>965</v>
      </c>
      <c r="E60" s="100">
        <v>45694</v>
      </c>
      <c r="F60" s="101">
        <v>22500</v>
      </c>
      <c r="G60" s="96" t="s">
        <v>964</v>
      </c>
    </row>
    <row r="61" spans="2:8">
      <c r="B61" s="96">
        <v>5</v>
      </c>
      <c r="C61" s="96" t="s">
        <v>966</v>
      </c>
      <c r="D61" s="96" t="s">
        <v>968</v>
      </c>
      <c r="E61" s="100">
        <v>45693</v>
      </c>
      <c r="F61" s="101">
        <v>15000</v>
      </c>
      <c r="G61" s="96" t="s">
        <v>967</v>
      </c>
    </row>
    <row r="62" spans="2:8">
      <c r="B62" s="96">
        <v>6</v>
      </c>
      <c r="C62" s="96" t="s">
        <v>969</v>
      </c>
      <c r="D62" s="96" t="s">
        <v>971</v>
      </c>
      <c r="E62" s="100">
        <v>45692</v>
      </c>
      <c r="F62" s="101">
        <v>50000</v>
      </c>
      <c r="G62" s="96" t="s">
        <v>970</v>
      </c>
    </row>
    <row r="63" spans="2:8">
      <c r="B63" s="96">
        <v>7</v>
      </c>
      <c r="C63" s="96" t="s">
        <v>972</v>
      </c>
      <c r="D63" s="96" t="s">
        <v>974</v>
      </c>
      <c r="E63" s="100">
        <v>45691</v>
      </c>
      <c r="F63" s="101">
        <v>17000</v>
      </c>
      <c r="G63" s="96" t="s">
        <v>973</v>
      </c>
    </row>
    <row r="64" spans="2:8">
      <c r="B64" s="96">
        <v>8</v>
      </c>
      <c r="C64" s="96" t="s">
        <v>975</v>
      </c>
      <c r="D64" s="96" t="s">
        <v>976</v>
      </c>
      <c r="E64" s="100">
        <v>45690</v>
      </c>
      <c r="F64" s="101">
        <v>100000</v>
      </c>
      <c r="G64" s="96" t="s">
        <v>956</v>
      </c>
    </row>
    <row r="65" spans="2:7">
      <c r="B65" s="96">
        <v>9</v>
      </c>
      <c r="C65" s="96" t="s">
        <v>977</v>
      </c>
      <c r="D65" s="96" t="s">
        <v>979</v>
      </c>
      <c r="E65" s="100">
        <v>45689</v>
      </c>
      <c r="F65" s="101">
        <v>30000</v>
      </c>
      <c r="G65" s="96" t="s">
        <v>978</v>
      </c>
    </row>
    <row r="66" spans="2:7">
      <c r="B66" s="96">
        <v>10</v>
      </c>
      <c r="C66" s="96" t="s">
        <v>980</v>
      </c>
      <c r="D66" s="96" t="s">
        <v>981</v>
      </c>
      <c r="E66" s="100">
        <v>45687</v>
      </c>
      <c r="F66" s="101">
        <v>14000</v>
      </c>
      <c r="G66" s="96" t="s">
        <v>956</v>
      </c>
    </row>
    <row r="67" spans="2:7">
      <c r="B67" s="96">
        <v>11</v>
      </c>
      <c r="C67" s="96" t="s">
        <v>982</v>
      </c>
      <c r="D67" s="96" t="s">
        <v>983</v>
      </c>
      <c r="E67" s="100">
        <v>45685</v>
      </c>
      <c r="F67" s="101">
        <v>45000</v>
      </c>
      <c r="G67" s="96" t="s">
        <v>959</v>
      </c>
    </row>
    <row r="68" spans="2:7">
      <c r="B68" s="96">
        <v>12</v>
      </c>
      <c r="C68" s="96" t="s">
        <v>984</v>
      </c>
      <c r="D68" s="96" t="s">
        <v>985</v>
      </c>
      <c r="E68" s="100">
        <v>45684</v>
      </c>
      <c r="F68" s="101">
        <v>350000</v>
      </c>
      <c r="G68" s="96" t="s">
        <v>967</v>
      </c>
    </row>
    <row r="69" spans="2:7">
      <c r="B69" s="96">
        <v>13</v>
      </c>
      <c r="C69" s="96" t="s">
        <v>986</v>
      </c>
      <c r="D69" s="96" t="s">
        <v>988</v>
      </c>
      <c r="E69" s="100">
        <v>45683</v>
      </c>
      <c r="F69" s="101">
        <v>120000</v>
      </c>
      <c r="G69" s="96" t="s">
        <v>987</v>
      </c>
    </row>
    <row r="70" spans="2:7">
      <c r="B70" s="96">
        <v>14</v>
      </c>
      <c r="C70" s="96" t="s">
        <v>989</v>
      </c>
      <c r="D70" s="96" t="s">
        <v>990</v>
      </c>
      <c r="E70" s="100">
        <v>45682</v>
      </c>
      <c r="F70" s="101">
        <v>200000</v>
      </c>
      <c r="G70" s="102"/>
    </row>
    <row r="71" spans="2:7">
      <c r="B71" s="96">
        <v>15</v>
      </c>
      <c r="C71" s="96" t="s">
        <v>991</v>
      </c>
      <c r="D71" s="96" t="s">
        <v>992</v>
      </c>
      <c r="E71" s="100">
        <v>45681</v>
      </c>
      <c r="F71" s="101">
        <v>8500</v>
      </c>
      <c r="G71" s="102"/>
    </row>
    <row r="72" spans="2:7">
      <c r="B72" s="96">
        <v>16</v>
      </c>
      <c r="C72" s="96" t="s">
        <v>993</v>
      </c>
      <c r="D72" s="96" t="s">
        <v>994</v>
      </c>
      <c r="E72" s="100">
        <v>45680</v>
      </c>
      <c r="F72" s="101">
        <v>55000</v>
      </c>
      <c r="G72" s="102"/>
    </row>
    <row r="73" spans="2:7">
      <c r="B73" s="96">
        <v>17</v>
      </c>
      <c r="C73" s="96" t="s">
        <v>995</v>
      </c>
      <c r="D73" s="96" t="s">
        <v>996</v>
      </c>
      <c r="E73" s="100">
        <v>45679</v>
      </c>
      <c r="F73" s="101">
        <v>35000</v>
      </c>
      <c r="G73" s="102"/>
    </row>
    <row r="74" spans="2:7">
      <c r="B74" s="96">
        <v>18</v>
      </c>
      <c r="C74" s="96" t="s">
        <v>997</v>
      </c>
      <c r="D74" s="96" t="s">
        <v>998</v>
      </c>
      <c r="E74" s="100">
        <v>45678</v>
      </c>
      <c r="F74" s="101">
        <v>90000</v>
      </c>
      <c r="G74" s="102"/>
    </row>
    <row r="75" spans="2:7">
      <c r="B75" s="96">
        <v>19</v>
      </c>
      <c r="C75" s="96" t="s">
        <v>999</v>
      </c>
      <c r="D75" s="96" t="s">
        <v>1000</v>
      </c>
      <c r="E75" s="100">
        <v>45677</v>
      </c>
      <c r="F75" s="101">
        <v>150000</v>
      </c>
      <c r="G75" s="102"/>
    </row>
    <row r="76" spans="2:7">
      <c r="B76" s="96">
        <v>20</v>
      </c>
      <c r="C76" s="96" t="s">
        <v>1001</v>
      </c>
      <c r="D76" s="96" t="s">
        <v>1002</v>
      </c>
      <c r="E76" s="100">
        <v>45676</v>
      </c>
      <c r="F76" s="101">
        <v>200000</v>
      </c>
      <c r="G76" s="102"/>
    </row>
  </sheetData>
  <mergeCells count="38">
    <mergeCell ref="E15:G15"/>
    <mergeCell ref="E10:G10"/>
    <mergeCell ref="E11:G11"/>
    <mergeCell ref="E12:G12"/>
    <mergeCell ref="E13:G13"/>
    <mergeCell ref="E14:G14"/>
    <mergeCell ref="H10:J10"/>
    <mergeCell ref="H11:J11"/>
    <mergeCell ref="H12:J12"/>
    <mergeCell ref="H13:J13"/>
    <mergeCell ref="H14:J14"/>
    <mergeCell ref="B4:C4"/>
    <mergeCell ref="B9:C9"/>
    <mergeCell ref="B22:C22"/>
    <mergeCell ref="E42:H42"/>
    <mergeCell ref="E43:H43"/>
    <mergeCell ref="H15:J15"/>
    <mergeCell ref="H16:J16"/>
    <mergeCell ref="H17:J17"/>
    <mergeCell ref="H18:J18"/>
    <mergeCell ref="H19:J19"/>
    <mergeCell ref="H20:J20"/>
    <mergeCell ref="E16:G16"/>
    <mergeCell ref="E17:G17"/>
    <mergeCell ref="E18:G18"/>
    <mergeCell ref="E19:G19"/>
    <mergeCell ref="E20:G20"/>
    <mergeCell ref="B41:C41"/>
    <mergeCell ref="B55:C55"/>
    <mergeCell ref="E48:H48"/>
    <mergeCell ref="E49:H49"/>
    <mergeCell ref="E50:H50"/>
    <mergeCell ref="E51:H51"/>
    <mergeCell ref="E52:H52"/>
    <mergeCell ref="E44:H44"/>
    <mergeCell ref="E45:H45"/>
    <mergeCell ref="E46:H46"/>
    <mergeCell ref="E47:H47"/>
  </mergeCells>
  <phoneticPr fontId="3"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8E3-FADF-4AE1-9FCE-66046D684AF4}">
  <sheetPr codeName="Sheet17"/>
  <dimension ref="B1:E35"/>
  <sheetViews>
    <sheetView zoomScaleNormal="100" workbookViewId="0">
      <selection activeCell="A3" sqref="A3"/>
    </sheetView>
  </sheetViews>
  <sheetFormatPr baseColWidth="10" defaultColWidth="8.6640625" defaultRowHeight="33.5" customHeight="1"/>
  <cols>
    <col min="1" max="1" width="8.6640625" style="34"/>
    <col min="2" max="2" width="15.6640625" style="34" customWidth="1"/>
    <col min="3" max="3" width="47.1640625" style="34" customWidth="1"/>
    <col min="4" max="4" width="45.83203125" style="34" customWidth="1"/>
    <col min="5" max="5" width="40" style="34" customWidth="1"/>
    <col min="6" max="8" width="15" style="34" customWidth="1"/>
    <col min="9" max="16384" width="8.6640625" style="34"/>
  </cols>
  <sheetData>
    <row r="1" spans="2:5" s="120" customFormat="1" ht="30" customHeight="1"/>
    <row r="2" spans="2:5" s="126" customFormat="1" ht="5.5" customHeight="1"/>
    <row r="4" spans="2:5" ht="33.5" customHeight="1" thickBot="1"/>
    <row r="5" spans="2:5" ht="28" customHeight="1" thickBot="1">
      <c r="B5" s="110" t="s">
        <v>1104</v>
      </c>
      <c r="C5" s="163" t="s">
        <v>1107</v>
      </c>
      <c r="D5" s="163"/>
      <c r="E5" s="164"/>
    </row>
    <row r="6" spans="2:5" ht="50.5" customHeight="1" thickBot="1">
      <c r="B6" s="111" t="s">
        <v>1105</v>
      </c>
      <c r="C6" s="165" t="s">
        <v>1106</v>
      </c>
      <c r="D6" s="166"/>
      <c r="E6" s="167"/>
    </row>
    <row r="7" spans="2:5" ht="8.5" customHeight="1" thickBot="1"/>
    <row r="8" spans="2:5" ht="21.5" customHeight="1" thickBot="1">
      <c r="B8" s="112"/>
      <c r="C8" s="113"/>
      <c r="D8" s="113" t="s">
        <v>1099</v>
      </c>
      <c r="E8" s="113" t="s">
        <v>1100</v>
      </c>
    </row>
    <row r="9" spans="2:5" ht="152" customHeight="1" thickBot="1">
      <c r="B9" s="114"/>
      <c r="C9" s="115" t="s">
        <v>1179</v>
      </c>
      <c r="D9" s="116" t="s">
        <v>1180</v>
      </c>
      <c r="E9" s="116" t="s">
        <v>1181</v>
      </c>
    </row>
    <row r="10" spans="2:5" ht="152" customHeight="1" thickBot="1">
      <c r="B10" s="117" t="s">
        <v>1101</v>
      </c>
      <c r="C10" s="116" t="s">
        <v>1182</v>
      </c>
      <c r="D10" s="118" t="s">
        <v>1183</v>
      </c>
      <c r="E10" s="118" t="s">
        <v>1184</v>
      </c>
    </row>
    <row r="11" spans="2:5" ht="152" customHeight="1" thickBot="1">
      <c r="B11" s="117" t="s">
        <v>1102</v>
      </c>
      <c r="C11" s="116" t="s">
        <v>1185</v>
      </c>
      <c r="D11" s="118" t="s">
        <v>1186</v>
      </c>
      <c r="E11" s="118" t="s">
        <v>1187</v>
      </c>
    </row>
    <row r="12" spans="2:5" ht="27.5" customHeight="1"/>
    <row r="13" spans="2:5" ht="27.5" customHeight="1"/>
    <row r="14" spans="2:5" ht="27.5" customHeight="1"/>
    <row r="15" spans="2:5" ht="27.5" customHeight="1"/>
    <row r="16" spans="2:5" ht="27.5" customHeight="1"/>
    <row r="17" ht="27.5" customHeight="1"/>
    <row r="18" ht="27.5" customHeight="1"/>
    <row r="19" ht="27.5" customHeight="1"/>
    <row r="20" ht="27.5" customHeight="1"/>
    <row r="21" ht="27.5" customHeight="1"/>
    <row r="22" ht="27.5" customHeight="1"/>
    <row r="23" ht="27.5" customHeight="1"/>
    <row r="24" ht="27.5" customHeight="1"/>
    <row r="25" ht="27.5" customHeight="1"/>
    <row r="26" ht="27.5" customHeight="1"/>
    <row r="27" ht="27.5" customHeight="1"/>
    <row r="28" ht="27.5" customHeight="1"/>
    <row r="29" ht="27.5" customHeight="1"/>
    <row r="30" ht="27.5" customHeight="1"/>
    <row r="31" ht="27.5" customHeight="1"/>
    <row r="32" ht="27.5" customHeight="1"/>
    <row r="33" ht="27.5" customHeight="1"/>
    <row r="34" ht="27.5" customHeight="1"/>
    <row r="35" ht="27.5" customHeight="1"/>
  </sheetData>
  <mergeCells count="2">
    <mergeCell ref="C5:E5"/>
    <mergeCell ref="C6:E6"/>
  </mergeCells>
  <phoneticPr fontId="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2737-4EF8-4DDD-B2C5-07B96D98C7F4}">
  <sheetPr codeName="Sheet18"/>
  <dimension ref="FF9433:WXZ1037958"/>
  <sheetViews>
    <sheetView workbookViewId="0"/>
  </sheetViews>
  <sheetFormatPr baseColWidth="10" defaultColWidth="8.83203125" defaultRowHeight="14"/>
  <sheetData>
    <row r="9433" spans="2768:2768">
      <c r="DBL9433" t="s">
        <v>1165</v>
      </c>
    </row>
    <row r="43526" spans="3324:3324">
      <c r="DWV43526" t="s">
        <v>1153</v>
      </c>
    </row>
    <row r="59037" spans="2251:2251">
      <c r="CHO59037" t="s">
        <v>1112</v>
      </c>
    </row>
    <row r="82660" spans="15086:15086">
      <c r="VHF82660" t="s">
        <v>1037</v>
      </c>
    </row>
    <row r="84498" spans="2406:2406">
      <c r="CNN84498" t="s">
        <v>1131</v>
      </c>
    </row>
    <row r="93289" spans="15750:15750">
      <c r="WGT93289" t="s">
        <v>1111</v>
      </c>
    </row>
    <row r="94549" spans="3725:3725">
      <c r="EMG94549" t="s">
        <v>1140</v>
      </c>
    </row>
    <row r="100009" spans="5909:5909">
      <c r="HSG100009" t="s">
        <v>1046</v>
      </c>
    </row>
    <row r="103341" spans="10835:10835">
      <c r="OZS103341" t="s">
        <v>1039</v>
      </c>
    </row>
    <row r="114242" spans="162:162">
      <c r="FF114242" t="s">
        <v>1045</v>
      </c>
    </row>
    <row r="117662" spans="13926:13926">
      <c r="TOP117662" t="s">
        <v>1132</v>
      </c>
    </row>
    <row r="118342" spans="8076:8076">
      <c r="KXP118342" t="s">
        <v>1115</v>
      </c>
    </row>
    <row r="127677" spans="6173:6173">
      <c r="ICK127677" t="s">
        <v>1173</v>
      </c>
    </row>
    <row r="133537" spans="13178:13178">
      <c r="SLV133537" t="s">
        <v>1177</v>
      </c>
    </row>
    <row r="154598" spans="14945:14945">
      <c r="VBU154598" t="s">
        <v>1171</v>
      </c>
    </row>
    <row r="160273" spans="10660:10660">
      <c r="OSZ160273" t="s">
        <v>1161</v>
      </c>
    </row>
    <row r="190757" spans="10303:10303">
      <c r="OFG190757" t="s">
        <v>1156</v>
      </c>
    </row>
    <row r="206032" spans="3864:3864">
      <c r="ERP206032" t="s">
        <v>1162</v>
      </c>
    </row>
    <row r="259479" spans="5272:5272">
      <c r="GTT259479" t="s">
        <v>1175</v>
      </c>
    </row>
    <row r="260171" spans="3897:3897">
      <c r="ESW260171" t="s">
        <v>1043</v>
      </c>
    </row>
    <row r="262598" spans="6270:6270">
      <c r="IGD262598" t="s">
        <v>1147</v>
      </c>
    </row>
    <row r="262839" spans="9018:9018">
      <c r="MHV262839" t="s">
        <v>1139</v>
      </c>
    </row>
    <row r="262864" spans="10863:10863">
      <c r="PAU262864" t="s">
        <v>1157</v>
      </c>
    </row>
    <row r="265165" spans="12980:12980">
      <c r="SEF265165" t="s">
        <v>1144</v>
      </c>
    </row>
    <row r="269320" spans="12848:12848">
      <c r="RZD269320" t="s">
        <v>1149</v>
      </c>
    </row>
    <row r="294183" spans="5253:5253">
      <c r="GTA294183" t="s">
        <v>1178</v>
      </c>
    </row>
    <row r="310378" spans="14316:14316">
      <c r="UDP310378" t="s">
        <v>1155</v>
      </c>
    </row>
    <row r="317381" spans="10659:10659">
      <c r="OSY317381" t="s">
        <v>1145</v>
      </c>
    </row>
    <row r="320901" spans="15496:15496">
      <c r="VWZ320901" t="s">
        <v>1172</v>
      </c>
    </row>
    <row r="377591" spans="10110:10110">
      <c r="NXV377591" t="s">
        <v>1042</v>
      </c>
    </row>
    <row r="378770" spans="5072:5072">
      <c r="GMB378770" t="s">
        <v>1044</v>
      </c>
    </row>
    <row r="387639" spans="5031:5031">
      <c r="GKM387639" t="s">
        <v>1114</v>
      </c>
    </row>
    <row r="403480" spans="5047:5047">
      <c r="GLC403480" t="s">
        <v>1051</v>
      </c>
    </row>
    <row r="417386" spans="11224:11224">
      <c r="POR417386" t="s">
        <v>1148</v>
      </c>
    </row>
    <row r="438540" spans="15690:15690">
      <c r="WEL438540" t="s">
        <v>1163</v>
      </c>
    </row>
    <row r="454171" spans="5599:5599">
      <c r="HGI454171" t="s">
        <v>1109</v>
      </c>
    </row>
    <row r="476910" spans="1688:1688">
      <c r="BLX476910" t="s">
        <v>1160</v>
      </c>
    </row>
    <row r="478441" spans="8405:8405">
      <c r="LKG478441" t="s">
        <v>1141</v>
      </c>
    </row>
    <row r="489533" spans="1007:1007">
      <c r="ALS489533" t="s">
        <v>1050</v>
      </c>
    </row>
    <row r="494587" spans="12585:12585">
      <c r="RPA494587" t="s">
        <v>1170</v>
      </c>
    </row>
    <row r="497890" spans="535:535">
      <c r="TO497890" t="s">
        <v>937</v>
      </c>
    </row>
    <row r="505047" spans="10084:10084">
      <c r="NWV505047" t="s">
        <v>1168</v>
      </c>
    </row>
    <row r="568197" spans="11263:11263">
      <c r="PQE568197" t="s">
        <v>1135</v>
      </c>
    </row>
    <row r="607078" spans="3488:3488">
      <c r="EDD607078" t="s">
        <v>1143</v>
      </c>
    </row>
    <row r="608177" spans="6033:6033">
      <c r="HXA608177" t="s">
        <v>1154</v>
      </c>
    </row>
    <row r="629979" spans="12421:12421">
      <c r="RIS629979" t="s">
        <v>1048</v>
      </c>
    </row>
    <row r="632875" spans="13220:13220">
      <c r="SNL632875" t="s">
        <v>1113</v>
      </c>
    </row>
    <row r="644872" spans="2351:2351">
      <c r="CLK644872" t="s">
        <v>1003</v>
      </c>
    </row>
    <row r="689193" spans="9935:9935">
      <c r="NRC689193" t="s">
        <v>1152</v>
      </c>
    </row>
    <row r="702062" spans="2675:2675">
      <c r="CXW702062" t="s">
        <v>1040</v>
      </c>
    </row>
    <row r="713745" spans="11042:11042">
      <c r="PHR713745" t="s">
        <v>1166</v>
      </c>
    </row>
    <row r="733075" spans="5206:5206">
      <c r="GRF733075" t="s">
        <v>1167</v>
      </c>
    </row>
    <row r="750653" spans="4916:4916">
      <c r="GGB750653" t="s">
        <v>1130</v>
      </c>
    </row>
    <row r="767777" spans="13579:13579">
      <c r="TBG767777" t="s">
        <v>1169</v>
      </c>
    </row>
    <row r="780827" spans="4406:4406">
      <c r="FML780827" t="s">
        <v>1103</v>
      </c>
    </row>
    <row r="802522" spans="384:384">
      <c r="NT802522" t="s">
        <v>1116</v>
      </c>
    </row>
    <row r="806567" spans="8562:8562">
      <c r="LQH806567" t="s">
        <v>1049</v>
      </c>
    </row>
    <row r="810369" spans="8608:8608">
      <c r="LSB810369" t="s">
        <v>1151</v>
      </c>
    </row>
    <row r="827501" spans="283:283">
      <c r="JW827501" t="s">
        <v>1038</v>
      </c>
    </row>
    <row r="836400" spans="6307:6307">
      <c r="IHO836400" t="s">
        <v>1176</v>
      </c>
    </row>
    <row r="876709" spans="3749:3749">
      <c r="ENE876709" t="s">
        <v>1158</v>
      </c>
    </row>
    <row r="903464" spans="11447:11447">
      <c r="PXG903464" t="s">
        <v>1142</v>
      </c>
    </row>
    <row r="931308" spans="3533:3533">
      <c r="EEW931308" t="s">
        <v>1146</v>
      </c>
    </row>
    <row r="938155" spans="3334:3334">
      <c r="DXF938155" t="s">
        <v>1047</v>
      </c>
    </row>
    <row r="947838" spans="13141:13141">
      <c r="SKK947838" t="s">
        <v>1159</v>
      </c>
    </row>
    <row r="958364" spans="16198:16198">
      <c r="WXZ958364" t="s">
        <v>1138</v>
      </c>
    </row>
    <row r="968256" spans="10514:10514">
      <c r="ONJ968256" t="s">
        <v>1041</v>
      </c>
    </row>
    <row r="994781" spans="798:798">
      <c r="ADR994781" t="s">
        <v>1110</v>
      </c>
    </row>
    <row r="997854" spans="1622:1622">
      <c r="BJJ997854" t="s">
        <v>1150</v>
      </c>
    </row>
    <row r="1027185" spans="6107:6107">
      <c r="HZW1027185" t="s">
        <v>1174</v>
      </c>
    </row>
    <row r="1033123" spans="1092:1092">
      <c r="AOZ1033123" t="s">
        <v>1108</v>
      </c>
    </row>
    <row r="1037958" spans="3923:3923">
      <c r="ETW1037958" t="s">
        <v>1164</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C10331-A83C-47A7-9D4A-F48D3F958D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18</vt:i4>
      </vt:variant>
    </vt:vector>
  </HeadingPairs>
  <TitlesOfParts>
    <vt:vector size="18" baseType="lpstr">
      <vt:lpstr>목차</vt:lpstr>
      <vt:lpstr>M1. 엑셀 활용시 LLM의 도움을 받을 수 있는 방법</vt:lpstr>
      <vt:lpstr>M2. 데이터집계하기(!)</vt:lpstr>
      <vt:lpstr>M2. 데이터집계하기(2)</vt:lpstr>
      <vt:lpstr>M2. 데이터집계하기(3)</vt:lpstr>
      <vt:lpstr>M3. 데이터정제하기(1)</vt:lpstr>
      <vt:lpstr>M3. 데이터정제하기(2)</vt:lpstr>
      <vt:lpstr>M4. 데이터 변수파생</vt:lpstr>
      <vt:lpstr>M5. 템플릿만들기(1)</vt:lpstr>
      <vt:lpstr>M5. 템플릿만들기(2)</vt:lpstr>
      <vt:lpstr>M6. 피벗차트 만들기 튜토리얼(1)</vt:lpstr>
      <vt:lpstr>M6. 피벗차트 만들기 튜토리얼(2)</vt:lpstr>
      <vt:lpstr>M7. 테이블,차트 데이터분석</vt:lpstr>
      <vt:lpstr>M8. 코드없이 엑셀템플릿 제작</vt:lpstr>
      <vt:lpstr>M9. 엑셀VBA with ChatGPT</vt:lpstr>
      <vt:lpstr>M10. 엑셀 GPT추가기능 (1)</vt:lpstr>
      <vt:lpstr>M10. 엑셀 GPT추가기능(2)</vt:lpstr>
      <vt:lpstr>M10. 엑셀 GPT추가기능(3)</vt:lpstr>
    </vt:vector>
  </TitlesOfParts>
  <Company>프리랜서</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한은숙</dc:creator>
  <cp:lastModifiedBy>Yongjae Kim</cp:lastModifiedBy>
  <cp:lastPrinted>2006-09-06T06:44:08Z</cp:lastPrinted>
  <dcterms:created xsi:type="dcterms:W3CDTF">2006-09-06T06:24:11Z</dcterms:created>
  <dcterms:modified xsi:type="dcterms:W3CDTF">2026-05-06T16:55:10Z</dcterms:modified>
</cp:coreProperties>
</file>