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a7fccfbb8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장비" sheetId="1" r:id="R72297364c46c41a3"/>
    <x:sheet xmlns:r="http://schemas.openxmlformats.org/officeDocument/2006/relationships" name="요약" sheetId="2" r:id="R5c4182da1430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원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0" fillId="2" borderId="13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1" fillId="2" borderId="13" xfId="0" applyNumberFormat="1" applyFont="1" applyFill="1" applyBorder="1" applyAlignment="1">
      <x:alignment horizontal="center"/>
    </x:xf>
    <x:xf numFmtId="201" fontId="0" fillId="0" borderId="7" xfId="0" applyNumberFormat="1" applyFont="1" applyFill="1" applyBorder="1"/>
    <x:xf numFmtId="201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7660499e0461e" /><Relationship Type="http://schemas.openxmlformats.org/officeDocument/2006/relationships/theme" Target="/xl/theme/theme1.xml" Id="R919bba34afac4b60" /><Relationship Type="http://schemas.openxmlformats.org/officeDocument/2006/relationships/sharedStrings" Target="/xl/sharedStrings.xml" Id="R3e9382b25c0b425a" /><Relationship Type="http://schemas.openxmlformats.org/officeDocument/2006/relationships/worksheet" Target="/xl/worksheets/sheet1.xml" Id="R72297364c46c41a3" /><Relationship Type="http://schemas.openxmlformats.org/officeDocument/2006/relationships/worksheet" Target="/xl/worksheets/sheet2.xml" Id="R5c4182da14304f4f" /></Relationships>
</file>

<file path=xl/tables/table1.xml><?xml version="1.0" encoding="utf-8"?>
<x:table xmlns:x="http://schemas.openxmlformats.org/spreadsheetml/2006/main" id="1" name="TripExpenseTable" displayName="TripExpenseTable" ref="A1:J13" headerRowCount="1">
  <x:tableColumns count="10">
    <x:tableColumn id="1" name="출장일"/>
    <x:tableColumn id="2" name="부서"/>
    <x:tableColumn id="3" name="출장자"/>
    <x:tableColumn id="4" name="출장지"/>
    <x:tableColumn id="5" name="교통비"/>
    <x:tableColumn id="6" name="숙박비"/>
    <x:tableColumn id="7" name="식비"/>
    <x:tableColumn id="8" name="기타비"/>
    <x:tableColumn id="9" name="총액"/>
    <x:tableColumn id="10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7b3430eba4fe9" /></Relationships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9.75" hidden="0" customWidth="1"/>
    <x:col min="3" max="3" width="6" hidden="0" customWidth="1"/>
    <x:col min="4" max="4" width="6" hidden="0" customWidth="1"/>
    <x:col min="5" max="5" width="7.5" hidden="0" customWidth="1"/>
    <x:col min="6" max="6" width="7.5" hidden="0" customWidth="1"/>
    <x:col min="7" max="7" width="7.5" hidden="0" customWidth="1"/>
    <x:col min="8" max="8" width="7.5" hidden="0" customWidth="1"/>
    <x:col min="9" max="9" width="8.380000114440918" hidden="0" customWidth="1"/>
    <x:col min="10" max="10" width="30" hidden="0" customWidth="1"/>
  </x:cols>
  <x:sheetData>
    <x:row r="1">
      <x:c r="A1" s="10" t="str">
        <x:v>출장일</x:v>
      </x:c>
      <x:c r="B1" s="11" t="str">
        <x:v>부서</x:v>
      </x:c>
      <x:c r="C1" s="11" t="str">
        <x:v>출장자</x:v>
      </x:c>
      <x:c r="D1" s="11" t="str">
        <x:v>출장지</x:v>
      </x:c>
      <x:c r="E1" s="11" t="str">
        <x:v>교통비</x:v>
      </x:c>
      <x:c r="F1" s="11" t="str">
        <x:v>숙박비</x:v>
      </x:c>
      <x:c r="G1" s="11" t="str">
        <x:v>식비</x:v>
      </x:c>
      <x:c r="H1" s="11" t="str">
        <x:v>기타비</x:v>
      </x:c>
      <x:c r="I1" s="11" t="str">
        <x:v>총액</x:v>
      </x:c>
      <x:c r="J1" s="12" t="str">
        <x:v>비고</x:v>
      </x:c>
    </x:row>
    <x:row r="2">
      <x:c r="A2" s="28" t="n">
        <x:v>45901</x:v>
      </x:c>
      <x:c r="B2" s="14" t="str">
        <x:v>기획조정실</x:v>
      </x:c>
      <x:c r="C2" s="14" t="str">
        <x:v>김철수</x:v>
      </x:c>
      <x:c r="D2" s="14" t="str">
        <x:v>세종시</x:v>
      </x:c>
      <x:c r="E2" s="32" t="n">
        <x:v>45000</x:v>
      </x:c>
      <x:c r="F2" s="32" t="n">
        <x:v>0</x:v>
      </x:c>
      <x:c r="G2" s="32" t="n">
        <x:v>18000</x:v>
      </x:c>
      <x:c r="H2" s="32" t="n">
        <x:v>0</x:v>
      </x:c>
      <x:c r="I2" s="32" t="n">
        <x:f>SUM(E2:H2)</x:f>
        <x:v>63000</x:v>
      </x:c>
      <x:c r="J2" s="15" t="str">
        <x:v>AI 업무자동화 교육 참석</x:v>
      </x:c>
    </x:row>
    <x:row r="3">
      <x:c r="A3" s="28" t="n">
        <x:v>45902</x:v>
      </x:c>
      <x:c r="B3" s="14" t="str">
        <x:v>기획조정실</x:v>
      </x:c>
      <x:c r="C3" s="14" t="str">
        <x:v>이영희</x:v>
      </x:c>
      <x:c r="D3" s="14" t="str">
        <x:v>대전</x:v>
      </x:c>
      <x:c r="E3" s="32" t="n">
        <x:v>38000</x:v>
      </x:c>
      <x:c r="F3" s="32" t="n">
        <x:v>0</x:v>
      </x:c>
      <x:c r="G3" s="32" t="n">
        <x:v>16000</x:v>
      </x:c>
      <x:c r="H3" s="32" t="n">
        <x:v>5000</x:v>
      </x:c>
      <x:c r="I3" s="32" t="n">
        <x:f>SUM(E3:H3)</x:f>
        <x:v>59000</x:v>
      </x:c>
      <x:c r="J3" s="15" t="str">
        <x:v>정보화 회의 참석</x:v>
      </x:c>
    </x:row>
    <x:row r="4">
      <x:c r="A4" s="28" t="n">
        <x:v>45903</x:v>
      </x:c>
      <x:c r="B4" s="14" t="str">
        <x:v>정보통신과</x:v>
      </x:c>
      <x:c r="C4" s="14" t="str">
        <x:v>박민수</x:v>
      </x:c>
      <x:c r="D4" s="14" t="str">
        <x:v>부산</x:v>
      </x:c>
      <x:c r="E4" s="32" t="n">
        <x:v>98000</x:v>
      </x:c>
      <x:c r="F4" s="32" t="n">
        <x:v>70000</x:v>
      </x:c>
      <x:c r="G4" s="32" t="n">
        <x:v>24000</x:v>
      </x:c>
      <x:c r="H4" s="32" t="n">
        <x:v>10000</x:v>
      </x:c>
      <x:c r="I4" s="32" t="n">
        <x:f>SUM(E4:H4)</x:f>
        <x:v>202000</x:v>
      </x:c>
      <x:c r="J4" s="15" t="str">
        <x:v>시스템 구축 협의</x:v>
      </x:c>
    </x:row>
    <x:row r="5">
      <x:c r="A5" s="28" t="n">
        <x:v>45904</x:v>
      </x:c>
      <x:c r="B5" s="14" t="str">
        <x:v>정보통신과</x:v>
      </x:c>
      <x:c r="C5" s="14" t="str">
        <x:v>최지훈</x:v>
      </x:c>
      <x:c r="D5" s="14" t="str">
        <x:v>광주</x:v>
      </x:c>
      <x:c r="E5" s="32" t="n">
        <x:v>76000</x:v>
      </x:c>
      <x:c r="F5" s="32" t="n">
        <x:v>65000</x:v>
      </x:c>
      <x:c r="G5" s="32" t="n">
        <x:v>22000</x:v>
      </x:c>
      <x:c r="H5" s="32" t="n">
        <x:v>0</x:v>
      </x:c>
      <x:c r="I5" s="32" t="n">
        <x:f>SUM(E5:H5)</x:f>
        <x:v>163000</x:v>
      </x:c>
      <x:c r="J5" s="15" t="str">
        <x:v>데이터 표준화 회의</x:v>
      </x:c>
    </x:row>
    <x:row r="6">
      <x:c r="A6" s="28" t="n">
        <x:v>45905</x:v>
      </x:c>
      <x:c r="B6" s="14" t="str">
        <x:v>민원여권과</x:v>
      </x:c>
      <x:c r="C6" s="14" t="str">
        <x:v>정수진</x:v>
      </x:c>
      <x:c r="D6" s="14" t="str">
        <x:v>서울</x:v>
      </x:c>
      <x:c r="E6" s="32" t="n">
        <x:v>12000</x:v>
      </x:c>
      <x:c r="F6" s="32" t="n">
        <x:v>0</x:v>
      </x:c>
      <x:c r="G6" s="32" t="n">
        <x:v>15000</x:v>
      </x:c>
      <x:c r="H6" s="32" t="n">
        <x:v>0</x:v>
      </x:c>
      <x:c r="I6" s="32" t="n">
        <x:f>SUM(E6:H6)</x:f>
        <x:v>27000</x:v>
      </x:c>
      <x:c r="J6" s="15" t="str">
        <x:v>민원서비스 개선 교육</x:v>
      </x:c>
    </x:row>
    <x:row r="7">
      <x:c r="A7" s="28" t="n">
        <x:v>45908</x:v>
      </x:c>
      <x:c r="B7" s="14" t="str">
        <x:v>민원여권과</x:v>
      </x:c>
      <x:c r="C7" s="14" t="str">
        <x:v>강유진</x:v>
      </x:c>
      <x:c r="D7" s="14" t="str">
        <x:v>수원</x:v>
      </x:c>
      <x:c r="E7" s="32" t="n">
        <x:v>18000</x:v>
      </x:c>
      <x:c r="F7" s="32" t="n">
        <x:v>0</x:v>
      </x:c>
      <x:c r="G7" s="32" t="n">
        <x:v>14000</x:v>
      </x:c>
      <x:c r="H7" s="32" t="n">
        <x:v>0</x:v>
      </x:c>
      <x:c r="I7" s="32" t="n">
        <x:f>SUM(E7:H7)</x:f>
        <x:v>32000</x:v>
      </x:c>
      <x:c r="J7" s="15" t="str">
        <x:v>민원 처리 사례 공유</x:v>
      </x:c>
    </x:row>
    <x:row r="8">
      <x:c r="A8" s="28" t="n">
        <x:v>45909</x:v>
      </x:c>
      <x:c r="B8" s="14" t="str">
        <x:v>환경과</x:v>
      </x:c>
      <x:c r="C8" s="14" t="str">
        <x:v>한민호</x:v>
      </x:c>
      <x:c r="D8" s="14" t="str">
        <x:v>대구</x:v>
      </x:c>
      <x:c r="E8" s="32" t="n">
        <x:v>85000</x:v>
      </x:c>
      <x:c r="F8" s="32" t="n">
        <x:v>68000</x:v>
      </x:c>
      <x:c r="G8" s="32" t="n">
        <x:v>23000</x:v>
      </x:c>
      <x:c r="H8" s="32" t="n">
        <x:v>8000</x:v>
      </x:c>
      <x:c r="I8" s="32" t="n">
        <x:f>SUM(E8:H8)</x:f>
        <x:v>184000</x:v>
      </x:c>
      <x:c r="J8" s="15" t="str">
        <x:v>탄소중립 업무 협의</x:v>
      </x:c>
    </x:row>
    <x:row r="9">
      <x:c r="A9" s="28" t="n">
        <x:v>45910</x:v>
      </x:c>
      <x:c r="B9" s="14" t="str">
        <x:v>환경과</x:v>
      </x:c>
      <x:c r="C9" s="14" t="str">
        <x:v>오세진</x:v>
      </x:c>
      <x:c r="D9" s="14" t="str">
        <x:v>춘천</x:v>
      </x:c>
      <x:c r="E9" s="32" t="n">
        <x:v>42000</x:v>
      </x:c>
      <x:c r="F9" s="32" t="n">
        <x:v>0</x:v>
      </x:c>
      <x:c r="G9" s="32" t="n">
        <x:v>17000</x:v>
      </x:c>
      <x:c r="H9" s="32" t="n">
        <x:v>0</x:v>
      </x:c>
      <x:c r="I9" s="32" t="n">
        <x:f>SUM(E9:H9)</x:f>
        <x:v>59000</x:v>
      </x:c>
      <x:c r="J9" s="15" t="str">
        <x:v>환경정책 설명회</x:v>
      </x:c>
    </x:row>
    <x:row r="10">
      <x:c r="A10" s="28" t="n">
        <x:v>45911</x:v>
      </x:c>
      <x:c r="B10" s="14" t="str">
        <x:v>건설과</x:v>
      </x:c>
      <x:c r="C10" s="14" t="str">
        <x:v>서동현</x:v>
      </x:c>
      <x:c r="D10" s="14" t="str">
        <x:v>인천</x:v>
      </x:c>
      <x:c r="E10" s="32" t="n">
        <x:v>22000</x:v>
      </x:c>
      <x:c r="F10" s="32" t="n">
        <x:v>0</x:v>
      </x:c>
      <x:c r="G10" s="32" t="n">
        <x:v>16000</x:v>
      </x:c>
      <x:c r="H10" s="32" t="n">
        <x:v>3000</x:v>
      </x:c>
      <x:c r="I10" s="32" t="n">
        <x:f>SUM(E10:H10)</x:f>
        <x:v>41000</x:v>
      </x:c>
      <x:c r="J10" s="15" t="str">
        <x:v>도로관리 시스템 점검</x:v>
      </x:c>
    </x:row>
    <x:row r="11">
      <x:c r="A11" s="28" t="n">
        <x:v>45912</x:v>
      </x:c>
      <x:c r="B11" s="14" t="str">
        <x:v>건설과</x:v>
      </x:c>
      <x:c r="C11" s="14" t="str">
        <x:v>윤지민</x:v>
      </x:c>
      <x:c r="D11" s="14" t="str">
        <x:v>청주</x:v>
      </x:c>
      <x:c r="E11" s="32" t="n">
        <x:v>34000</x:v>
      </x:c>
      <x:c r="F11" s="32" t="n">
        <x:v>0</x:v>
      </x:c>
      <x:c r="G11" s="32" t="n">
        <x:v>15000</x:v>
      </x:c>
      <x:c r="H11" s="32" t="n">
        <x:v>0</x:v>
      </x:c>
      <x:c r="I11" s="32" t="n">
        <x:f>SUM(E11:H11)</x:f>
        <x:v>49000</x:v>
      </x:c>
      <x:c r="J11" s="15" t="str">
        <x:v>시설물 안전관리 회의</x:v>
      </x:c>
    </x:row>
    <x:row r="12">
      <x:c r="A12" s="28" t="n">
        <x:v>45915</x:v>
      </x:c>
      <x:c r="B12" s="14" t="str">
        <x:v>교통과</x:v>
      </x:c>
      <x:c r="C12" s="14" t="str">
        <x:v>최민재</x:v>
      </x:c>
      <x:c r="D12" s="14" t="str">
        <x:v>대전</x:v>
      </x:c>
      <x:c r="E12" s="32" t="n">
        <x:v>39000</x:v>
      </x:c>
      <x:c r="F12" s="32" t="n">
        <x:v>0</x:v>
      </x:c>
      <x:c r="G12" s="32" t="n">
        <x:v>16000</x:v>
      </x:c>
      <x:c r="H12" s="32" t="n">
        <x:v>0</x:v>
      </x:c>
      <x:c r="I12" s="32" t="n">
        <x:f>SUM(E12:H12)</x:f>
        <x:v>55000</x:v>
      </x:c>
      <x:c r="J12" s="15" t="str">
        <x:v>대중교통 정책 회의</x:v>
      </x:c>
    </x:row>
    <x:row r="13">
      <x:c r="A13" s="29" t="n">
        <x:v>45916</x:v>
      </x:c>
      <x:c r="B13" s="17" t="str">
        <x:v>교통과</x:v>
      </x:c>
      <x:c r="C13" s="17" t="str">
        <x:v>김하늘</x:v>
      </x:c>
      <x:c r="D13" s="17" t="str">
        <x:v>세종시</x:v>
      </x:c>
      <x:c r="E13" s="33" t="n">
        <x:v>44000</x:v>
      </x:c>
      <x:c r="F13" s="33" t="n">
        <x:v>0</x:v>
      </x:c>
      <x:c r="G13" s="33" t="n">
        <x:v>18000</x:v>
      </x:c>
      <x:c r="H13" s="33" t="n">
        <x:v>6000</x:v>
      </x:c>
      <x:c r="I13" s="33" t="n">
        <x:f>SUM(E13:H13)</x:f>
        <x:v>68000</x:v>
      </x:c>
      <x:c r="J13" s="18" t="str">
        <x:v>교통안전 교육 참석</x:v>
      </x:c>
    </x:row>
  </x:sheetData>
  <x:pageMargins left="0.7" right="0.7" top="0.75" bottom="0.75" header="0.3" footer="0.3"/>
  <x:tableParts count="1">
    <x:tablePart xmlns:r="http://schemas.openxmlformats.org/officeDocument/2006/relationships" r:id="R92c7b3430eba4f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" hidden="0" customWidth="1"/>
    <x:col min="3" max="3" width="10.130000114440918" hidden="0" customWidth="1"/>
    <x:col min="4" max="4" width="10.130000114440918" hidden="0" customWidth="1"/>
  </x:cols>
  <x:sheetData>
    <x:row r="1">
      <x:c r="A1" s="38" t="str">
        <x:v>부서별 출장비 정산 요약</x:v>
      </x:c>
    </x:row>
    <x:row r="3">
      <x:c r="A3" s="54" t="str">
        <x:v>부서</x:v>
      </x:c>
      <x:c r="B3" s="55" t="str">
        <x:v>건수</x:v>
      </x:c>
      <x:c r="C3" s="55" t="str">
        <x:v>출장비 합계</x:v>
      </x:c>
      <x:c r="D3" s="56" t="str">
        <x:v>평균 출장비</x:v>
      </x:c>
    </x:row>
    <x:row r="4">
      <x:c r="A4" s="13" t="str">
        <x:v>건설과</x:v>
      </x:c>
      <x:c r="B4" s="14" t="n">
        <x:f>COUNTIF('출장비'!$B:$B,A4)</x:f>
        <x:v>2</x:v>
      </x:c>
      <x:c r="C4" s="32" t="n">
        <x:f>SUMIF('출장비'!$B:$B,A4,'출장비'!$I:$I)</x:f>
        <x:v>90000</x:v>
      </x:c>
      <x:c r="D4" s="66" t="n">
        <x:f>IFERROR(C4/B4,0)</x:f>
        <x:v>45000</x:v>
      </x:c>
    </x:row>
    <x:row r="5">
      <x:c r="A5" s="13" t="str">
        <x:v>교통과</x:v>
      </x:c>
      <x:c r="B5" s="14" t="n">
        <x:f>COUNTIF('출장비'!$B:$B,A5)</x:f>
        <x:v>2</x:v>
      </x:c>
      <x:c r="C5" s="32" t="n">
        <x:f>SUMIF('출장비'!$B:$B,A5,'출장비'!$I:$I)</x:f>
        <x:v>123000</x:v>
      </x:c>
      <x:c r="D5" s="66" t="n">
        <x:f>IFERROR(C5/B5,0)</x:f>
        <x:v>61500</x:v>
      </x:c>
    </x:row>
    <x:row r="6">
      <x:c r="A6" s="13" t="str">
        <x:v>기획조정실</x:v>
      </x:c>
      <x:c r="B6" s="14" t="n">
        <x:f>COUNTIF('출장비'!$B:$B,A6)</x:f>
        <x:v>2</x:v>
      </x:c>
      <x:c r="C6" s="32" t="n">
        <x:f>SUMIF('출장비'!$B:$B,A6,'출장비'!$I:$I)</x:f>
        <x:v>122000</x:v>
      </x:c>
      <x:c r="D6" s="66" t="n">
        <x:f>IFERROR(C6/B6,0)</x:f>
        <x:v>61000</x:v>
      </x:c>
    </x:row>
    <x:row r="7">
      <x:c r="A7" s="13" t="str">
        <x:v>민원여권과</x:v>
      </x:c>
      <x:c r="B7" s="14" t="n">
        <x:f>COUNTIF('출장비'!$B:$B,A7)</x:f>
        <x:v>2</x:v>
      </x:c>
      <x:c r="C7" s="32" t="n">
        <x:f>SUMIF('출장비'!$B:$B,A7,'출장비'!$I:$I)</x:f>
        <x:v>59000</x:v>
      </x:c>
      <x:c r="D7" s="66" t="n">
        <x:f>IFERROR(C7/B7,0)</x:f>
        <x:v>29500</x:v>
      </x:c>
    </x:row>
    <x:row r="8">
      <x:c r="A8" s="13" t="str">
        <x:v>정보통신과</x:v>
      </x:c>
      <x:c r="B8" s="14" t="n">
        <x:f>COUNTIF('출장비'!$B:$B,A8)</x:f>
        <x:v>2</x:v>
      </x:c>
      <x:c r="C8" s="32" t="n">
        <x:f>SUMIF('출장비'!$B:$B,A8,'출장비'!$I:$I)</x:f>
        <x:v>365000</x:v>
      </x:c>
      <x:c r="D8" s="66" t="n">
        <x:f>IFERROR(C8/B8,0)</x:f>
        <x:v>182500</x:v>
      </x:c>
    </x:row>
    <x:row r="9">
      <x:c r="A9" s="16" t="str">
        <x:v>환경과</x:v>
      </x:c>
      <x:c r="B9" s="17" t="n">
        <x:f>COUNTIF('출장비'!$B:$B,A9)</x:f>
        <x:v>2</x:v>
      </x:c>
      <x:c r="C9" s="33" t="n">
        <x:f>SUMIF('출장비'!$B:$B,A9,'출장비'!$I:$I)</x:f>
        <x:v>243000</x:v>
      </x:c>
      <x:c r="D9" s="67" t="n">
        <x:f>IFERROR(C9/B9,0)</x:f>
        <x:v>121500</x:v>
      </x:c>
    </x:row>
  </x:sheetData>
  <x:mergeCells>
    <x:mergeCell ref="A1:D1"/>
  </x:mergeCells>
  <x:pageMargins left="0.7" right="0.7" top="0.75" bottom="0.75" header="0.3" footer="0.3"/>
</x:worksheet>
</file>